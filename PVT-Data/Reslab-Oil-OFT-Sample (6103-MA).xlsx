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rano-my.sharepoint.com/personal/markushays_whitson_com/Documents/whitsonPVT/Technical-Documents/PVT-datasets/Duvernay-Data/"/>
    </mc:Choice>
  </mc:AlternateContent>
  <xr:revisionPtr revIDLastSave="812" documentId="8_{60881D7D-F2B9-4D64-A00E-A6623A749F96}" xr6:coauthVersionLast="47" xr6:coauthVersionMax="47" xr10:uidLastSave="{DF6CEE74-12A8-4888-A4C1-9EF0505DE88E}"/>
  <bookViews>
    <workbookView xWindow="28680" yWindow="-120" windowWidth="29040" windowHeight="15840" firstSheet="2" activeTab="2" xr2:uid="{1E48386E-8708-480E-BD59-819B923511FD}"/>
  </bookViews>
  <sheets>
    <sheet name="units" sheetId="4" state="hidden" r:id="rId1"/>
    <sheet name="sample options" sheetId="5" state="hidden" r:id="rId2"/>
    <sheet name="General Info" sheetId="1" r:id="rId3"/>
    <sheet name="Compositional Data" sheetId="2" r:id="rId4"/>
    <sheet name="CCE Experimental Data" sheetId="3" r:id="rId5"/>
    <sheet name="MSS Experimental Data" sheetId="8" r:id="rId6"/>
    <sheet name="VISCO Experimental Data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1" i="8" l="1" a="1"/>
  <c r="A501" i="8" s="1"/>
  <c r="Z5" i="8" s="1"/>
  <c r="A500" i="8" a="1"/>
  <c r="A500" i="8" s="1"/>
  <c r="AD5" i="8" l="1"/>
  <c r="AB5" i="8"/>
  <c r="AF5" i="8"/>
  <c r="AG5" i="8"/>
  <c r="AI3" i="8"/>
  <c r="AA5" i="8"/>
  <c r="AI5" i="8"/>
  <c r="AC3" i="8"/>
  <c r="AC5" i="8"/>
  <c r="AH3" i="8"/>
  <c r="AA3" i="8"/>
  <c r="AB3" i="8"/>
  <c r="AH5" i="8"/>
  <c r="AE3" i="8"/>
  <c r="Z3" i="8"/>
  <c r="AD3" i="8"/>
  <c r="AF3" i="8"/>
  <c r="AG3" i="8"/>
  <c r="AE5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<sst xmlns="http://schemas.openxmlformats.org/spreadsheetml/2006/main" count="470" uniqueCount="203">
  <si>
    <t>Note About the PVT Sample</t>
  </si>
  <si>
    <t>PVT Sample Information</t>
  </si>
  <si>
    <t>Sample Name</t>
  </si>
  <si>
    <t>Sample Type</t>
  </si>
  <si>
    <t>Well Name</t>
  </si>
  <si>
    <t>Reservoir</t>
  </si>
  <si>
    <t>Segment</t>
  </si>
  <si>
    <t>Formation</t>
  </si>
  <si>
    <t>Zone</t>
  </si>
  <si>
    <t>Fluid in Storage</t>
  </si>
  <si>
    <t>PVT Report</t>
  </si>
  <si>
    <t>PVT Sample Location Information</t>
  </si>
  <si>
    <t>True Vertical Depth</t>
  </si>
  <si>
    <t>Measured Depth</t>
  </si>
  <si>
    <t>Top Perforation Depth</t>
  </si>
  <si>
    <t>Bottom Perforation Depth</t>
  </si>
  <si>
    <t>Latitude</t>
  </si>
  <si>
    <t>Longitude</t>
  </si>
  <si>
    <t>length-depth</t>
  </si>
  <si>
    <t>m</t>
  </si>
  <si>
    <t>ft</t>
  </si>
  <si>
    <t>N</t>
  </si>
  <si>
    <t>S</t>
  </si>
  <si>
    <t>E</t>
  </si>
  <si>
    <t>W</t>
  </si>
  <si>
    <t>Reservoir Conditions</t>
  </si>
  <si>
    <t>Reservoir Pressure</t>
  </si>
  <si>
    <t>Reservoir Temperature</t>
  </si>
  <si>
    <t>Pressure</t>
  </si>
  <si>
    <t>Temperature</t>
  </si>
  <si>
    <t>bara</t>
  </si>
  <si>
    <t>barg</t>
  </si>
  <si>
    <t>psia</t>
  </si>
  <si>
    <t>psig</t>
  </si>
  <si>
    <t>kPaa</t>
  </si>
  <si>
    <t>kPag</t>
  </si>
  <si>
    <t>atm</t>
  </si>
  <si>
    <t>atmg</t>
  </si>
  <si>
    <t>°C</t>
  </si>
  <si>
    <t>K</t>
  </si>
  <si>
    <t>°F</t>
  </si>
  <si>
    <t>°R</t>
  </si>
  <si>
    <t>PVT Sample Conditions Information</t>
  </si>
  <si>
    <t>Pressure when Sampled</t>
  </si>
  <si>
    <t>Temperature when Sampled</t>
  </si>
  <si>
    <t>Transfer Pressure</t>
  </si>
  <si>
    <t>Transfer Temperature</t>
  </si>
  <si>
    <t>Pressure at Laboratory</t>
  </si>
  <si>
    <t>Temperature at Laboratory</t>
  </si>
  <si>
    <t>Sample Drawdown Pressure</t>
  </si>
  <si>
    <t>Additional Fluid Information</t>
  </si>
  <si>
    <t>Fluid Type</t>
  </si>
  <si>
    <t>Fluid type</t>
  </si>
  <si>
    <t>Gas</t>
  </si>
  <si>
    <t>Oil</t>
  </si>
  <si>
    <t>Water</t>
  </si>
  <si>
    <t>Mud base</t>
  </si>
  <si>
    <t>Recombined</t>
  </si>
  <si>
    <t>Bottomhole</t>
  </si>
  <si>
    <t>Openhole Formation Test</t>
  </si>
  <si>
    <t>Separator Oil</t>
  </si>
  <si>
    <t>Mud Base</t>
  </si>
  <si>
    <t>Component</t>
  </si>
  <si>
    <t>Name</t>
  </si>
  <si>
    <t>Reported</t>
  </si>
  <si>
    <t>MW</t>
  </si>
  <si>
    <t>Mole</t>
  </si>
  <si>
    <t>Amounts</t>
  </si>
  <si>
    <t>Mass</t>
  </si>
  <si>
    <t>GOR</t>
  </si>
  <si>
    <t>Sm3/Sm3</t>
  </si>
  <si>
    <t>Sm3/m3</t>
  </si>
  <si>
    <t>scf/STB</t>
  </si>
  <si>
    <t>scf/bbl</t>
  </si>
  <si>
    <t>1e6-Sm3/Sm3</t>
  </si>
  <si>
    <t>1e6-Sm3/m3</t>
  </si>
  <si>
    <t>MMscf/STB</t>
  </si>
  <si>
    <t>MMscf/bbl</t>
  </si>
  <si>
    <t>1e3-Sm3/Sm3</t>
  </si>
  <si>
    <t>1e3-Sm3/m3</t>
  </si>
  <si>
    <t>Mscf/STB</t>
  </si>
  <si>
    <t>Mscf/bbl</t>
  </si>
  <si>
    <t>Recombined Fluid Information</t>
  </si>
  <si>
    <t>Fluid Molecular Weight:</t>
  </si>
  <si>
    <t>Recombination GOR:</t>
  </si>
  <si>
    <t>Flashed Gas Information</t>
  </si>
  <si>
    <t>Flashed Oil Information</t>
  </si>
  <si>
    <t>Specific Gravity:</t>
  </si>
  <si>
    <t>Liquid density</t>
  </si>
  <si>
    <t>Gas density</t>
  </si>
  <si>
    <t>SG</t>
  </si>
  <si>
    <t>kg/m3</t>
  </si>
  <si>
    <t>g/cm3</t>
  </si>
  <si>
    <t>lbm/bbl</t>
  </si>
  <si>
    <t>lbm/ft3</t>
  </si>
  <si>
    <t>Fluid Density:</t>
  </si>
  <si>
    <t>Flash Temperature:</t>
  </si>
  <si>
    <t>Reported Contamination:</t>
  </si>
  <si>
    <t>Fractions</t>
  </si>
  <si>
    <t>%</t>
  </si>
  <si>
    <t>frac.</t>
  </si>
  <si>
    <t>Density</t>
  </si>
  <si>
    <t>Saturation Pressure Type:</t>
  </si>
  <si>
    <t>Saturation Pressure:</t>
  </si>
  <si>
    <t>Temperature:</t>
  </si>
  <si>
    <t>sat pres type</t>
  </si>
  <si>
    <t>Bubblepoint</t>
  </si>
  <si>
    <t>Dewpoint</t>
  </si>
  <si>
    <t>Experiment Information</t>
  </si>
  <si>
    <t>Constant Composition Expansion (CCE)</t>
  </si>
  <si>
    <t>Stage</t>
  </si>
  <si>
    <t>Relative</t>
  </si>
  <si>
    <t>Total Volume</t>
  </si>
  <si>
    <t>-</t>
  </si>
  <si>
    <t>Single-Phase</t>
  </si>
  <si>
    <t>Oil Volume</t>
  </si>
  <si>
    <t>rel oil volume</t>
  </si>
  <si>
    <t>Vo / Vsat (%)</t>
  </si>
  <si>
    <t>Vo / Vsat (frac)</t>
  </si>
  <si>
    <t>Vo / Vtot (frac)</t>
  </si>
  <si>
    <t>Vo / Vtot (%)</t>
  </si>
  <si>
    <t>Z-factor</t>
  </si>
  <si>
    <t>NOTE: Pressure and relative total volume are typically always given!</t>
  </si>
  <si>
    <t>Residual Fluids Information at Standard Conditions</t>
  </si>
  <si>
    <t>Average Oil Molecular Weight:</t>
  </si>
  <si>
    <t>Average Oil Density:</t>
  </si>
  <si>
    <t>Last Stage Gas Specific Gravity:</t>
  </si>
  <si>
    <t>Solution Gas-Oil</t>
  </si>
  <si>
    <t>Ratio (Rs)</t>
  </si>
  <si>
    <t>GOR (2)</t>
  </si>
  <si>
    <t>Liberated</t>
  </si>
  <si>
    <t>Gas Removed</t>
  </si>
  <si>
    <t>Oil Formation</t>
  </si>
  <si>
    <t>Volume Factor</t>
  </si>
  <si>
    <t>FVF</t>
  </si>
  <si>
    <t>m3/Sm3</t>
  </si>
  <si>
    <t>bbl/STB</t>
  </si>
  <si>
    <t>Gravity</t>
  </si>
  <si>
    <t>Viscosity</t>
  </si>
  <si>
    <t>cP</t>
  </si>
  <si>
    <t>µcP</t>
  </si>
  <si>
    <t>NOTE: Pressure, solution GOR, and oil formation volume factor are typically always given!</t>
  </si>
  <si>
    <t>Residual Oil Data</t>
  </si>
  <si>
    <t>Composition</t>
  </si>
  <si>
    <t>moles</t>
  </si>
  <si>
    <t>Reservoir Formation Volume Factor:</t>
  </si>
  <si>
    <t xml:space="preserve">   Liberated Gas Data (Stages added when added in the stage data section to the left)</t>
  </si>
  <si>
    <t>psat</t>
  </si>
  <si>
    <t>Sample Date (YYYY-MM-DD)</t>
  </si>
  <si>
    <t>6103-MA</t>
  </si>
  <si>
    <t>2008-05-14</t>
  </si>
  <si>
    <t>15/9-F-4</t>
  </si>
  <si>
    <t>Volve</t>
  </si>
  <si>
    <t>Hugin</t>
  </si>
  <si>
    <t>The drawdown pressure was reported as 60 bara on page 8, but 272.7 bara on page 9. Seing as the reported reservoir pressure - 60 bara is equal to the second reported drawdown pressure, this is assumed to be the sampling pressure (only mislabled in the report).</t>
  </si>
  <si>
    <t>Nitrogen</t>
  </si>
  <si>
    <t>Carbon dioxide</t>
  </si>
  <si>
    <t>Hydrogen Sulphide</t>
  </si>
  <si>
    <t>Methane</t>
  </si>
  <si>
    <t>Ethane</t>
  </si>
  <si>
    <t>Propane</t>
  </si>
  <si>
    <t>iso-Butane</t>
  </si>
  <si>
    <t>n-Butane</t>
  </si>
  <si>
    <t>Neopentane</t>
  </si>
  <si>
    <t>iso-Pentane</t>
  </si>
  <si>
    <t>n-Pentane</t>
  </si>
  <si>
    <t>Hexanes</t>
  </si>
  <si>
    <t>Heptanes</t>
  </si>
  <si>
    <t>Octanes</t>
  </si>
  <si>
    <t>Nonanes</t>
  </si>
  <si>
    <t>Decanes</t>
  </si>
  <si>
    <t>Undecanes</t>
  </si>
  <si>
    <t>Dodecanes</t>
  </si>
  <si>
    <t>Tridecanes</t>
  </si>
  <si>
    <t>Tetradecanes</t>
  </si>
  <si>
    <t>Pentadecanes</t>
  </si>
  <si>
    <t>Hexadecanes</t>
  </si>
  <si>
    <t>Heptadecanes</t>
  </si>
  <si>
    <t>Octadecanes</t>
  </si>
  <si>
    <t>Nonadecanes</t>
  </si>
  <si>
    <t>Eicosanes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</si>
  <si>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</si>
  <si>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</si>
  <si>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</si>
  <si>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</si>
  <si>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</si>
  <si>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</si>
  <si>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</si>
  <si>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</si>
  <si>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</si>
  <si>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</si>
  <si>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</si>
  <si>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</si>
  <si>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</si>
  <si>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</si>
  <si>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</si>
  <si>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C36+</t>
  </si>
  <si>
    <t>Carbon Dioxide</t>
  </si>
  <si>
    <t>C6</t>
  </si>
  <si>
    <t>C7</t>
  </si>
  <si>
    <t>C8</t>
  </si>
  <si>
    <t>C9</t>
  </si>
  <si>
    <t>C10+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</si>
</sst>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theme="0" tint="-0.499984740745262"/>
      <name val="Arial"/>
      <family val="2"/>
    </font>
    <font>
      <b/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7F7E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4" borderId="11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vertical="center"/>
    </xf>
    <xf numFmtId="0" fontId="1" fillId="5" borderId="1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5" borderId="9" xfId="0" applyFont="1" applyFill="1" applyBorder="1" applyAlignment="1">
      <alignment horizontal="left" vertical="center"/>
    </xf>
    <xf numFmtId="0" fontId="1" fillId="5" borderId="10" xfId="0" applyFont="1" applyFill="1" applyBorder="1" applyAlignment="1">
      <alignment horizontal="left" vertical="center"/>
    </xf>
    <xf numFmtId="0" fontId="1" fillId="5" borderId="1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right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" fillId="2" borderId="9" xfId="0" applyFont="1" applyFill="1" applyBorder="1" applyAlignment="1">
      <alignment horizontal="right" vertical="center"/>
    </xf>
    <xf numFmtId="0" fontId="1" fillId="2" borderId="10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right" vertical="center"/>
    </xf>
    <xf numFmtId="0" fontId="4" fillId="2" borderId="10" xfId="0" applyFont="1" applyFill="1" applyBorder="1" applyAlignment="1">
      <alignment horizontal="right" vertical="center"/>
    </xf>
    <xf numFmtId="0" fontId="3" fillId="2" borderId="10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1" fillId="5" borderId="9" xfId="0" quotePrefix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color theme="3" tint="0.89996032593768116"/>
      </font>
      <fill>
        <patternFill>
          <bgColor theme="3" tint="0.89996032593768116"/>
        </patternFill>
      </fill>
      <border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 style="thin">
          <color auto="1"/>
        </top>
      </border>
    </dxf>
  </dxfs>
  <tableStyles count="0" defaultTableStyle="TableStyleMedium2" defaultPivotStyle="PivotStyleLight16"/>
  <colors>
    <mruColors>
      <color rgb="FFE7F7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4EBF5-3C6C-4AAB-8896-C98F9728FEB5}">
  <dimension ref="A1:L13"/>
  <sheetViews>
    <sheetView workbookViewId="0">
      <selection activeCell="L3" sqref="L3"/>
    </sheetView>
  </sheetViews>
  <sheetFormatPr defaultRowHeight="15" x14ac:dyDescent="0.25"/>
  <cols>
    <col min="1" max="1" width="12.140625" bestFit="1" customWidth="1"/>
    <col min="3" max="3" width="9.7109375" bestFit="1" customWidth="1"/>
    <col min="5" max="5" width="12.140625" bestFit="1" customWidth="1"/>
    <col min="6" max="7" width="13.28515625" bestFit="1" customWidth="1"/>
    <col min="8" max="9" width="13.42578125" bestFit="1" customWidth="1"/>
  </cols>
  <sheetData>
    <row r="1" spans="1:12" x14ac:dyDescent="0.25">
      <c r="A1" t="s">
        <v>18</v>
      </c>
      <c r="B1" t="s">
        <v>16</v>
      </c>
      <c r="C1" t="s">
        <v>17</v>
      </c>
      <c r="D1" t="s">
        <v>28</v>
      </c>
      <c r="E1" t="s">
        <v>29</v>
      </c>
      <c r="F1" t="s">
        <v>129</v>
      </c>
      <c r="G1" t="s">
        <v>69</v>
      </c>
      <c r="H1" t="s">
        <v>88</v>
      </c>
      <c r="I1" t="s">
        <v>89</v>
      </c>
      <c r="J1" t="s">
        <v>98</v>
      </c>
      <c r="K1" t="s">
        <v>134</v>
      </c>
      <c r="L1" t="s">
        <v>138</v>
      </c>
    </row>
    <row r="2" spans="1:12" x14ac:dyDescent="0.25">
      <c r="A2" t="s">
        <v>19</v>
      </c>
      <c r="B2" t="s">
        <v>21</v>
      </c>
      <c r="C2" t="s">
        <v>23</v>
      </c>
      <c r="D2" t="s">
        <v>30</v>
      </c>
      <c r="E2" t="s">
        <v>38</v>
      </c>
      <c r="F2" t="s">
        <v>70</v>
      </c>
      <c r="G2" t="s">
        <v>70</v>
      </c>
      <c r="H2" t="s">
        <v>91</v>
      </c>
      <c r="I2" t="s">
        <v>90</v>
      </c>
      <c r="J2" t="s">
        <v>99</v>
      </c>
      <c r="K2" t="s">
        <v>135</v>
      </c>
      <c r="L2" t="s">
        <v>139</v>
      </c>
    </row>
    <row r="3" spans="1:12" x14ac:dyDescent="0.25">
      <c r="A3" t="s">
        <v>20</v>
      </c>
      <c r="B3" t="s">
        <v>22</v>
      </c>
      <c r="C3" t="s">
        <v>24</v>
      </c>
      <c r="D3" t="s">
        <v>31</v>
      </c>
      <c r="E3" t="s">
        <v>39</v>
      </c>
      <c r="F3" t="s">
        <v>72</v>
      </c>
      <c r="G3" t="s">
        <v>71</v>
      </c>
      <c r="H3" t="s">
        <v>92</v>
      </c>
      <c r="I3" t="s">
        <v>91</v>
      </c>
      <c r="J3" t="s">
        <v>100</v>
      </c>
      <c r="K3" t="s">
        <v>136</v>
      </c>
      <c r="L3" t="s">
        <v>140</v>
      </c>
    </row>
    <row r="4" spans="1:12" x14ac:dyDescent="0.25">
      <c r="D4" t="s">
        <v>32</v>
      </c>
      <c r="E4" t="s">
        <v>40</v>
      </c>
      <c r="F4" t="s">
        <v>74</v>
      </c>
      <c r="G4" t="s">
        <v>72</v>
      </c>
      <c r="H4" t="s">
        <v>93</v>
      </c>
      <c r="I4" t="s">
        <v>92</v>
      </c>
    </row>
    <row r="5" spans="1:12" x14ac:dyDescent="0.25">
      <c r="D5" t="s">
        <v>33</v>
      </c>
      <c r="E5" t="s">
        <v>41</v>
      </c>
      <c r="F5" t="s">
        <v>76</v>
      </c>
      <c r="G5" t="s">
        <v>73</v>
      </c>
      <c r="H5" t="s">
        <v>94</v>
      </c>
      <c r="I5" t="s">
        <v>93</v>
      </c>
    </row>
    <row r="6" spans="1:12" x14ac:dyDescent="0.25">
      <c r="D6" t="s">
        <v>34</v>
      </c>
      <c r="F6" t="s">
        <v>78</v>
      </c>
      <c r="G6" t="s">
        <v>74</v>
      </c>
      <c r="I6" t="s">
        <v>94</v>
      </c>
    </row>
    <row r="7" spans="1:12" x14ac:dyDescent="0.25">
      <c r="D7" t="s">
        <v>35</v>
      </c>
      <c r="F7" t="s">
        <v>80</v>
      </c>
      <c r="G7" t="s">
        <v>75</v>
      </c>
    </row>
    <row r="8" spans="1:12" x14ac:dyDescent="0.25">
      <c r="D8" t="s">
        <v>36</v>
      </c>
      <c r="G8" t="s">
        <v>76</v>
      </c>
    </row>
    <row r="9" spans="1:12" x14ac:dyDescent="0.25">
      <c r="D9" t="s">
        <v>37</v>
      </c>
      <c r="G9" t="s">
        <v>77</v>
      </c>
    </row>
    <row r="10" spans="1:12" x14ac:dyDescent="0.25">
      <c r="G10" t="s">
        <v>78</v>
      </c>
    </row>
    <row r="11" spans="1:12" x14ac:dyDescent="0.25">
      <c r="G11" t="s">
        <v>79</v>
      </c>
    </row>
    <row r="12" spans="1:12" x14ac:dyDescent="0.25">
      <c r="G12" t="s">
        <v>80</v>
      </c>
    </row>
    <row r="13" spans="1:12" x14ac:dyDescent="0.25">
      <c r="G13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4ADAC-FDF8-4423-BCD1-3BF2EA3C202F}">
  <dimension ref="A1:E5"/>
  <sheetViews>
    <sheetView workbookViewId="0">
      <selection activeCell="H9" sqref="H9"/>
    </sheetView>
  </sheetViews>
  <sheetFormatPr defaultRowHeight="15" x14ac:dyDescent="0.25"/>
  <cols>
    <col min="1" max="1" width="23.5703125" bestFit="1" customWidth="1"/>
    <col min="2" max="2" width="9.42578125" bestFit="1" customWidth="1"/>
    <col min="3" max="3" width="9.5703125" bestFit="1" customWidth="1"/>
    <col min="4" max="4" width="12" bestFit="1" customWidth="1"/>
    <col min="5" max="5" width="12.85546875" bestFit="1" customWidth="1"/>
  </cols>
  <sheetData>
    <row r="1" spans="1:5" x14ac:dyDescent="0.25">
      <c r="A1" t="s">
        <v>3</v>
      </c>
      <c r="B1" t="s">
        <v>52</v>
      </c>
      <c r="C1" t="s">
        <v>56</v>
      </c>
      <c r="D1" t="s">
        <v>105</v>
      </c>
      <c r="E1" t="s">
        <v>116</v>
      </c>
    </row>
    <row r="2" spans="1:5" x14ac:dyDescent="0.25">
      <c r="A2" t="s">
        <v>57</v>
      </c>
      <c r="B2" t="s">
        <v>53</v>
      </c>
      <c r="C2" t="s">
        <v>54</v>
      </c>
      <c r="D2" t="s">
        <v>106</v>
      </c>
      <c r="E2" t="s">
        <v>117</v>
      </c>
    </row>
    <row r="3" spans="1:5" x14ac:dyDescent="0.25">
      <c r="A3" t="s">
        <v>58</v>
      </c>
      <c r="B3" t="s">
        <v>54</v>
      </c>
      <c r="C3" t="s">
        <v>55</v>
      </c>
      <c r="D3" t="s">
        <v>107</v>
      </c>
      <c r="E3" t="s">
        <v>120</v>
      </c>
    </row>
    <row r="4" spans="1:5" x14ac:dyDescent="0.25">
      <c r="A4" t="s">
        <v>59</v>
      </c>
      <c r="E4" t="s">
        <v>118</v>
      </c>
    </row>
    <row r="5" spans="1:5" x14ac:dyDescent="0.25">
      <c r="A5" t="s">
        <v>60</v>
      </c>
      <c r="E5" t="s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EB0F9-4C07-4A55-972A-C376DE6DBFDC}">
  <dimension ref="B3:O37"/>
  <sheetViews>
    <sheetView tabSelected="1" workbookViewId="0"/>
  </sheetViews>
  <sheetFormatPr defaultRowHeight="14.25" x14ac:dyDescent="0.25"/>
  <cols>
    <col min="1" max="16384" width="9.140625" style="1"/>
  </cols>
  <sheetData>
    <row r="3" spans="2:15" ht="15" x14ac:dyDescent="0.25">
      <c r="B3" s="36" t="s">
        <v>0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8"/>
    </row>
    <row r="4" spans="2:15" ht="14.25" customHeight="1" x14ac:dyDescent="0.25">
      <c r="B4" s="39" t="s">
        <v>154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1"/>
    </row>
    <row r="5" spans="2:15" x14ac:dyDescent="0.25">
      <c r="B5" s="42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4"/>
    </row>
    <row r="6" spans="2:15" x14ac:dyDescent="0.25">
      <c r="B6" s="42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4"/>
    </row>
    <row r="7" spans="2:15" x14ac:dyDescent="0.25">
      <c r="B7" s="45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7"/>
    </row>
    <row r="9" spans="2:15" ht="15" x14ac:dyDescent="0.25">
      <c r="B9" s="27" t="s">
        <v>1</v>
      </c>
      <c r="C9" s="28"/>
      <c r="D9" s="28"/>
      <c r="E9" s="29"/>
      <c r="G9" s="27" t="s">
        <v>11</v>
      </c>
      <c r="H9" s="28"/>
      <c r="I9" s="28"/>
      <c r="J9" s="29"/>
      <c r="L9" s="27" t="s">
        <v>50</v>
      </c>
      <c r="M9" s="28"/>
      <c r="N9" s="28"/>
      <c r="O9" s="29"/>
    </row>
    <row r="10" spans="2:15" x14ac:dyDescent="0.25">
      <c r="B10" s="30" t="s">
        <v>2</v>
      </c>
      <c r="C10" s="31"/>
      <c r="D10" s="31"/>
      <c r="E10" s="32"/>
      <c r="G10" s="30" t="s">
        <v>12</v>
      </c>
      <c r="H10" s="31"/>
      <c r="I10" s="31"/>
      <c r="J10" s="32"/>
      <c r="L10" s="30" t="s">
        <v>51</v>
      </c>
      <c r="M10" s="31"/>
      <c r="N10" s="31"/>
      <c r="O10" s="32"/>
    </row>
    <row r="11" spans="2:15" x14ac:dyDescent="0.25">
      <c r="B11" s="33" t="s">
        <v>149</v>
      </c>
      <c r="C11" s="34"/>
      <c r="D11" s="34"/>
      <c r="E11" s="35"/>
      <c r="G11" s="33">
        <v>2928.7</v>
      </c>
      <c r="H11" s="34"/>
      <c r="I11" s="34"/>
      <c r="J11" s="2" t="s">
        <v>19</v>
      </c>
      <c r="L11" s="33" t="s">
        <v>54</v>
      </c>
      <c r="M11" s="34"/>
      <c r="N11" s="34"/>
      <c r="O11" s="35"/>
    </row>
    <row r="12" spans="2:15" x14ac:dyDescent="0.25">
      <c r="B12" s="48" t="s">
        <v>3</v>
      </c>
      <c r="C12" s="49"/>
      <c r="D12" s="49"/>
      <c r="E12" s="50"/>
      <c r="G12" s="30" t="s">
        <v>13</v>
      </c>
      <c r="H12" s="31"/>
      <c r="I12" s="31"/>
      <c r="J12" s="32"/>
      <c r="L12" s="30" t="s">
        <v>61</v>
      </c>
      <c r="M12" s="31"/>
      <c r="N12" s="31"/>
      <c r="O12" s="32"/>
    </row>
    <row r="13" spans="2:15" x14ac:dyDescent="0.25">
      <c r="B13" s="33" t="s">
        <v>59</v>
      </c>
      <c r="C13" s="34"/>
      <c r="D13" s="34"/>
      <c r="E13" s="35"/>
      <c r="G13" s="33">
        <v>3245.5</v>
      </c>
      <c r="H13" s="34"/>
      <c r="I13" s="34"/>
      <c r="J13" s="2" t="s">
        <v>19</v>
      </c>
      <c r="L13" s="33" t="s">
        <v>54</v>
      </c>
      <c r="M13" s="34"/>
      <c r="N13" s="34"/>
      <c r="O13" s="35"/>
    </row>
    <row r="14" spans="2:15" x14ac:dyDescent="0.25">
      <c r="B14" s="48" t="s">
        <v>148</v>
      </c>
      <c r="C14" s="49"/>
      <c r="D14" s="49"/>
      <c r="E14" s="50"/>
      <c r="G14" s="30" t="s">
        <v>14</v>
      </c>
      <c r="H14" s="31"/>
      <c r="I14" s="31"/>
      <c r="J14" s="32"/>
    </row>
    <row r="15" spans="2:15" x14ac:dyDescent="0.25">
      <c r="B15" s="68" t="s">
        <v>150</v>
      </c>
      <c r="C15" s="34"/>
      <c r="D15" s="34"/>
      <c r="E15" s="35"/>
      <c r="G15" s="33"/>
      <c r="H15" s="34"/>
      <c r="I15" s="34"/>
      <c r="J15" s="2"/>
    </row>
    <row r="16" spans="2:15" x14ac:dyDescent="0.25">
      <c r="B16" s="48" t="s">
        <v>4</v>
      </c>
      <c r="C16" s="49"/>
      <c r="D16" s="49"/>
      <c r="E16" s="50"/>
      <c r="G16" s="30" t="s">
        <v>15</v>
      </c>
      <c r="H16" s="31"/>
      <c r="I16" s="31"/>
      <c r="J16" s="32"/>
    </row>
    <row r="17" spans="2:10" x14ac:dyDescent="0.25">
      <c r="B17" s="33" t="s">
        <v>151</v>
      </c>
      <c r="C17" s="34"/>
      <c r="D17" s="34"/>
      <c r="E17" s="35"/>
      <c r="G17" s="33"/>
      <c r="H17" s="34"/>
      <c r="I17" s="34"/>
      <c r="J17" s="2"/>
    </row>
    <row r="18" spans="2:10" x14ac:dyDescent="0.25">
      <c r="B18" s="48" t="s">
        <v>5</v>
      </c>
      <c r="C18" s="50"/>
      <c r="D18" s="49" t="s">
        <v>6</v>
      </c>
      <c r="E18" s="50"/>
      <c r="G18" s="30" t="s">
        <v>16</v>
      </c>
      <c r="H18" s="31"/>
      <c r="I18" s="31"/>
      <c r="J18" s="32"/>
    </row>
    <row r="19" spans="2:10" x14ac:dyDescent="0.25">
      <c r="B19" s="33" t="s">
        <v>152</v>
      </c>
      <c r="C19" s="35"/>
      <c r="D19" s="34"/>
      <c r="E19" s="35"/>
      <c r="G19" s="33"/>
      <c r="H19" s="34"/>
      <c r="I19" s="34"/>
      <c r="J19" s="2"/>
    </row>
    <row r="20" spans="2:10" x14ac:dyDescent="0.25">
      <c r="B20" s="48" t="s">
        <v>7</v>
      </c>
      <c r="C20" s="50"/>
      <c r="D20" s="49" t="s">
        <v>8</v>
      </c>
      <c r="E20" s="50"/>
      <c r="G20" s="30" t="s">
        <v>17</v>
      </c>
      <c r="H20" s="31"/>
      <c r="I20" s="31"/>
      <c r="J20" s="32"/>
    </row>
    <row r="21" spans="2:10" x14ac:dyDescent="0.25">
      <c r="B21" s="33" t="s">
        <v>153</v>
      </c>
      <c r="C21" s="35"/>
      <c r="D21" s="34"/>
      <c r="E21" s="35"/>
      <c r="G21" s="33"/>
      <c r="H21" s="34"/>
      <c r="I21" s="34"/>
      <c r="J21" s="2"/>
    </row>
    <row r="22" spans="2:10" x14ac:dyDescent="0.25">
      <c r="B22" s="48" t="s">
        <v>9</v>
      </c>
      <c r="C22" s="49"/>
      <c r="D22" s="49"/>
      <c r="E22" s="50"/>
    </row>
    <row r="23" spans="2:10" ht="15" x14ac:dyDescent="0.25">
      <c r="B23" s="33"/>
      <c r="C23" s="34"/>
      <c r="D23" s="34"/>
      <c r="E23" s="35"/>
      <c r="G23" s="27" t="s">
        <v>42</v>
      </c>
      <c r="H23" s="28"/>
      <c r="I23" s="28"/>
      <c r="J23" s="29"/>
    </row>
    <row r="24" spans="2:10" x14ac:dyDescent="0.25">
      <c r="B24" s="48" t="s">
        <v>10</v>
      </c>
      <c r="C24" s="49"/>
      <c r="D24" s="49"/>
      <c r="E24" s="50"/>
      <c r="G24" s="30" t="s">
        <v>43</v>
      </c>
      <c r="H24" s="31"/>
      <c r="I24" s="31"/>
      <c r="J24" s="32"/>
    </row>
    <row r="25" spans="2:10" x14ac:dyDescent="0.25">
      <c r="B25" s="33"/>
      <c r="C25" s="34"/>
      <c r="D25" s="34"/>
      <c r="E25" s="35"/>
      <c r="G25" s="33">
        <v>272.7</v>
      </c>
      <c r="H25" s="34"/>
      <c r="I25" s="34"/>
      <c r="J25" s="2" t="s">
        <v>30</v>
      </c>
    </row>
    <row r="26" spans="2:10" x14ac:dyDescent="0.25">
      <c r="G26" s="30" t="s">
        <v>44</v>
      </c>
      <c r="H26" s="31"/>
      <c r="I26" s="31"/>
      <c r="J26" s="32"/>
    </row>
    <row r="27" spans="2:10" ht="15" x14ac:dyDescent="0.25">
      <c r="B27" s="27" t="s">
        <v>25</v>
      </c>
      <c r="C27" s="28"/>
      <c r="D27" s="28"/>
      <c r="E27" s="29"/>
      <c r="G27" s="33">
        <v>107</v>
      </c>
      <c r="H27" s="34"/>
      <c r="I27" s="34"/>
      <c r="J27" s="2" t="s">
        <v>38</v>
      </c>
    </row>
    <row r="28" spans="2:10" x14ac:dyDescent="0.25">
      <c r="B28" s="30" t="s">
        <v>26</v>
      </c>
      <c r="C28" s="31"/>
      <c r="D28" s="31"/>
      <c r="E28" s="32"/>
      <c r="G28" s="30" t="s">
        <v>45</v>
      </c>
      <c r="H28" s="31"/>
      <c r="I28" s="31"/>
      <c r="J28" s="32"/>
    </row>
    <row r="29" spans="2:10" x14ac:dyDescent="0.25">
      <c r="B29" s="33">
        <v>332.8</v>
      </c>
      <c r="C29" s="34"/>
      <c r="D29" s="34"/>
      <c r="E29" s="2" t="s">
        <v>30</v>
      </c>
      <c r="G29" s="33">
        <v>412.65</v>
      </c>
      <c r="H29" s="34"/>
      <c r="I29" s="34"/>
      <c r="J29" s="2" t="s">
        <v>30</v>
      </c>
    </row>
    <row r="30" spans="2:10" x14ac:dyDescent="0.25">
      <c r="B30" s="30" t="s">
        <v>27</v>
      </c>
      <c r="C30" s="31"/>
      <c r="D30" s="31"/>
      <c r="E30" s="32"/>
      <c r="G30" s="30" t="s">
        <v>46</v>
      </c>
      <c r="H30" s="31"/>
      <c r="I30" s="31"/>
      <c r="J30" s="32"/>
    </row>
    <row r="31" spans="2:10" x14ac:dyDescent="0.25">
      <c r="B31" s="33">
        <v>107</v>
      </c>
      <c r="C31" s="34"/>
      <c r="D31" s="34"/>
      <c r="E31" s="2" t="s">
        <v>38</v>
      </c>
      <c r="G31" s="33">
        <v>80</v>
      </c>
      <c r="H31" s="34"/>
      <c r="I31" s="34"/>
      <c r="J31" s="2" t="s">
        <v>38</v>
      </c>
    </row>
    <row r="32" spans="2:10" x14ac:dyDescent="0.25">
      <c r="G32" s="30" t="s">
        <v>47</v>
      </c>
      <c r="H32" s="31"/>
      <c r="I32" s="31"/>
      <c r="J32" s="32"/>
    </row>
    <row r="33" spans="7:10" x14ac:dyDescent="0.25">
      <c r="G33" s="33">
        <v>110.04</v>
      </c>
      <c r="H33" s="34"/>
      <c r="I33" s="34"/>
      <c r="J33" s="2" t="s">
        <v>30</v>
      </c>
    </row>
    <row r="34" spans="7:10" x14ac:dyDescent="0.25">
      <c r="G34" s="30" t="s">
        <v>48</v>
      </c>
      <c r="H34" s="31"/>
      <c r="I34" s="31"/>
      <c r="J34" s="32"/>
    </row>
    <row r="35" spans="7:10" x14ac:dyDescent="0.25">
      <c r="G35" s="33">
        <v>8</v>
      </c>
      <c r="H35" s="34"/>
      <c r="I35" s="34"/>
      <c r="J35" s="2" t="s">
        <v>38</v>
      </c>
    </row>
    <row r="36" spans="7:10" x14ac:dyDescent="0.25">
      <c r="G36" s="30" t="s">
        <v>49</v>
      </c>
      <c r="H36" s="31"/>
      <c r="I36" s="31"/>
      <c r="J36" s="32"/>
    </row>
    <row r="37" spans="7:10" x14ac:dyDescent="0.25">
      <c r="G37" s="33">
        <v>60</v>
      </c>
      <c r="H37" s="34"/>
      <c r="I37" s="34"/>
      <c r="J37" s="2" t="s">
        <v>30</v>
      </c>
    </row>
  </sheetData>
  <mergeCells count="61">
    <mergeCell ref="B9:E9"/>
    <mergeCell ref="B12:E12"/>
    <mergeCell ref="B13:E13"/>
    <mergeCell ref="B15:E15"/>
    <mergeCell ref="B16:E16"/>
    <mergeCell ref="B10:E10"/>
    <mergeCell ref="B11:E11"/>
    <mergeCell ref="B23:E23"/>
    <mergeCell ref="B17:E17"/>
    <mergeCell ref="B14:E14"/>
    <mergeCell ref="B18:C18"/>
    <mergeCell ref="D18:E18"/>
    <mergeCell ref="B19:C19"/>
    <mergeCell ref="D19:E19"/>
    <mergeCell ref="B20:C20"/>
    <mergeCell ref="D20:E20"/>
    <mergeCell ref="B21:C21"/>
    <mergeCell ref="D21:E21"/>
    <mergeCell ref="B22:E22"/>
    <mergeCell ref="G9:J9"/>
    <mergeCell ref="G10:J10"/>
    <mergeCell ref="G12:J12"/>
    <mergeCell ref="G14:J14"/>
    <mergeCell ref="G16:J16"/>
    <mergeCell ref="G35:I35"/>
    <mergeCell ref="G36:J36"/>
    <mergeCell ref="G37:I37"/>
    <mergeCell ref="B31:D31"/>
    <mergeCell ref="G23:J23"/>
    <mergeCell ref="G24:J24"/>
    <mergeCell ref="G25:I25"/>
    <mergeCell ref="G26:J26"/>
    <mergeCell ref="G27:I27"/>
    <mergeCell ref="G28:J28"/>
    <mergeCell ref="G29:I29"/>
    <mergeCell ref="G30:J30"/>
    <mergeCell ref="G31:I31"/>
    <mergeCell ref="B27:E27"/>
    <mergeCell ref="B28:E28"/>
    <mergeCell ref="B29:D29"/>
    <mergeCell ref="B3:O3"/>
    <mergeCell ref="B4:O7"/>
    <mergeCell ref="G32:J32"/>
    <mergeCell ref="G33:I33"/>
    <mergeCell ref="G34:J34"/>
    <mergeCell ref="G21:I21"/>
    <mergeCell ref="B30:E30"/>
    <mergeCell ref="G18:J18"/>
    <mergeCell ref="G20:J20"/>
    <mergeCell ref="G11:I11"/>
    <mergeCell ref="G13:I13"/>
    <mergeCell ref="G15:I15"/>
    <mergeCell ref="G17:I17"/>
    <mergeCell ref="G19:I19"/>
    <mergeCell ref="B24:E24"/>
    <mergeCell ref="B25:E25"/>
    <mergeCell ref="L9:O9"/>
    <mergeCell ref="L10:O10"/>
    <mergeCell ref="L11:O11"/>
    <mergeCell ref="L12:O12"/>
    <mergeCell ref="L13:O1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B39F752E-D6D5-4B93-A232-A5C99A3F2294}">
          <x14:formula1>
            <xm:f>units!$A$2:$A$3</xm:f>
          </x14:formula1>
          <xm:sqref>J11 J13 J15 J17</xm:sqref>
        </x14:dataValidation>
        <x14:dataValidation type="list" allowBlank="1" showInputMessage="1" showErrorMessage="1" xr:uid="{2B9BE8DB-A772-4010-875E-194C44D9D709}">
          <x14:formula1>
            <xm:f>units!$B$2:$B$3</xm:f>
          </x14:formula1>
          <xm:sqref>J19</xm:sqref>
        </x14:dataValidation>
        <x14:dataValidation type="list" allowBlank="1" showInputMessage="1" showErrorMessage="1" xr:uid="{D1BCE71C-7B38-4372-A1AF-6307E941DD77}">
          <x14:formula1>
            <xm:f>units!$C$2:$C$3</xm:f>
          </x14:formula1>
          <xm:sqref>J21</xm:sqref>
        </x14:dataValidation>
        <x14:dataValidation type="list" allowBlank="1" showInputMessage="1" showErrorMessage="1" xr:uid="{BC48F4B0-349B-44E2-A59C-861E46B30FC9}">
          <x14:formula1>
            <xm:f>units!$D$2:$D$9</xm:f>
          </x14:formula1>
          <xm:sqref>E29 J25 J29 J33 J37</xm:sqref>
        </x14:dataValidation>
        <x14:dataValidation type="list" allowBlank="1" showInputMessage="1" showErrorMessage="1" xr:uid="{A71E9C5A-6763-4744-B26D-E4B075D26B9B}">
          <x14:formula1>
            <xm:f>units!$E$2:$E$5</xm:f>
          </x14:formula1>
          <xm:sqref>E31 J27 J31 J35</xm:sqref>
        </x14:dataValidation>
        <x14:dataValidation type="list" allowBlank="1" showInputMessage="1" showErrorMessage="1" xr:uid="{F157675C-D3D3-4B92-866D-DE7EB7E83866}">
          <x14:formula1>
            <xm:f>'sample options'!$A$2:$A$5</xm:f>
          </x14:formula1>
          <xm:sqref>B13:E13</xm:sqref>
        </x14:dataValidation>
        <x14:dataValidation type="list" allowBlank="1" showInputMessage="1" showErrorMessage="1" xr:uid="{197D1B43-91CC-4649-99E6-06CB2717C14C}">
          <x14:formula1>
            <xm:f>'sample options'!$B$2:$B$3</xm:f>
          </x14:formula1>
          <xm:sqref>L11:O11</xm:sqref>
        </x14:dataValidation>
        <x14:dataValidation type="list" allowBlank="1" showInputMessage="1" showErrorMessage="1" xr:uid="{2573C410-5A70-4A90-9F13-FAEB8F8A4849}">
          <x14:formula1>
            <xm:f>'sample options'!$C$2:$C$3</xm:f>
          </x14:formula1>
          <xm:sqref>L13:O13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EB4A2-CB76-4EF7-B378-CEA89CE67C85}">
  <dimension ref="B2:O49"/>
  <sheetViews>
    <sheetView workbookViewId="0"/>
  </sheetViews>
  <sheetFormatPr defaultRowHeight="14.25" x14ac:dyDescent="0.25"/>
  <cols>
    <col min="1" max="1" width="9.140625" style="1"/>
    <col min="2" max="2" width="12.7109375" style="1" bestFit="1" customWidth="1"/>
    <col min="3" max="3" width="11.140625" style="1" customWidth="1"/>
    <col min="4" max="5" width="10.5703125" style="1" customWidth="1"/>
    <col min="6" max="6" width="9.140625" style="1"/>
    <col min="7" max="7" width="12.7109375" style="1" bestFit="1" customWidth="1"/>
    <col min="8" max="8" width="11.140625" style="1" customWidth="1"/>
    <col min="9" max="10" width="10.5703125" style="1" customWidth="1"/>
    <col min="11" max="11" width="9.140625" style="1"/>
    <col min="12" max="12" width="12.7109375" style="1" bestFit="1" customWidth="1"/>
    <col min="13" max="13" width="11.140625" style="1" customWidth="1"/>
    <col min="14" max="15" width="10.5703125" style="1" customWidth="1"/>
    <col min="16" max="16384" width="9.140625" style="1"/>
  </cols>
  <sheetData>
    <row r="2" spans="2:15" ht="15" x14ac:dyDescent="0.25">
      <c r="B2" s="27" t="s">
        <v>82</v>
      </c>
      <c r="C2" s="53"/>
      <c r="D2" s="53"/>
      <c r="E2" s="54"/>
      <c r="G2" s="27" t="s">
        <v>85</v>
      </c>
      <c r="H2" s="53"/>
      <c r="I2" s="53"/>
      <c r="J2" s="54"/>
      <c r="L2" s="27" t="s">
        <v>86</v>
      </c>
      <c r="M2" s="53"/>
      <c r="N2" s="53"/>
      <c r="O2" s="54"/>
    </row>
    <row r="3" spans="2:15" x14ac:dyDescent="0.25">
      <c r="B3" s="55" t="s">
        <v>83</v>
      </c>
      <c r="C3" s="56"/>
      <c r="D3" s="57">
        <v>119.1</v>
      </c>
      <c r="E3" s="58"/>
      <c r="G3" s="55" t="s">
        <v>83</v>
      </c>
      <c r="H3" s="56"/>
      <c r="I3" s="57">
        <v>25.46</v>
      </c>
      <c r="J3" s="58"/>
      <c r="L3" s="55" t="s">
        <v>83</v>
      </c>
      <c r="M3" s="56"/>
      <c r="N3" s="57">
        <v>237.6</v>
      </c>
      <c r="O3" s="58"/>
    </row>
    <row r="4" spans="2:15" x14ac:dyDescent="0.25">
      <c r="B4" s="51" t="s">
        <v>84</v>
      </c>
      <c r="C4" s="52"/>
      <c r="D4" s="13">
        <v>109.8</v>
      </c>
      <c r="E4" s="17" t="s">
        <v>70</v>
      </c>
      <c r="G4" s="51" t="s">
        <v>87</v>
      </c>
      <c r="H4" s="52"/>
      <c r="I4" s="13">
        <v>0.879</v>
      </c>
      <c r="J4" s="17" t="s">
        <v>90</v>
      </c>
      <c r="L4" s="51" t="s">
        <v>95</v>
      </c>
      <c r="M4" s="52"/>
      <c r="N4" s="13">
        <v>872.5</v>
      </c>
      <c r="O4" s="17" t="s">
        <v>91</v>
      </c>
    </row>
    <row r="5" spans="2:15" x14ac:dyDescent="0.25">
      <c r="B5" s="51" t="s">
        <v>97</v>
      </c>
      <c r="C5" s="52"/>
      <c r="D5" s="9"/>
      <c r="E5" s="16"/>
      <c r="G5" s="51" t="s">
        <v>96</v>
      </c>
      <c r="H5" s="52"/>
      <c r="I5" s="9">
        <v>22.4</v>
      </c>
      <c r="J5" s="16" t="s">
        <v>38</v>
      </c>
      <c r="L5" s="51" t="s">
        <v>97</v>
      </c>
      <c r="M5" s="52"/>
      <c r="N5" s="9">
        <v>12.5</v>
      </c>
      <c r="O5" s="16" t="s">
        <v>99</v>
      </c>
    </row>
    <row r="6" spans="2:15" ht="15" x14ac:dyDescent="0.25">
      <c r="B6" s="3" t="s">
        <v>62</v>
      </c>
      <c r="C6" s="4" t="s">
        <v>64</v>
      </c>
      <c r="D6" s="4" t="s">
        <v>66</v>
      </c>
      <c r="E6" s="5" t="s">
        <v>68</v>
      </c>
      <c r="G6" s="3" t="s">
        <v>62</v>
      </c>
      <c r="H6" s="4" t="s">
        <v>64</v>
      </c>
      <c r="I6" s="4" t="s">
        <v>66</v>
      </c>
      <c r="J6" s="5" t="s">
        <v>68</v>
      </c>
      <c r="L6" s="3" t="s">
        <v>62</v>
      </c>
      <c r="M6" s="4" t="s">
        <v>64</v>
      </c>
      <c r="N6" s="4" t="s">
        <v>66</v>
      </c>
      <c r="O6" s="5" t="s">
        <v>68</v>
      </c>
    </row>
    <row r="7" spans="2:15" ht="15" x14ac:dyDescent="0.25">
      <c r="B7" s="6" t="s">
        <v>63</v>
      </c>
      <c r="C7" s="7" t="s">
        <v>65</v>
      </c>
      <c r="D7" s="7" t="s">
        <v>67</v>
      </c>
      <c r="E7" s="8" t="s">
        <v>67</v>
      </c>
      <c r="G7" s="6" t="s">
        <v>63</v>
      </c>
      <c r="H7" s="7" t="s">
        <v>65</v>
      </c>
      <c r="I7" s="7" t="s">
        <v>67</v>
      </c>
      <c r="J7" s="8" t="s">
        <v>67</v>
      </c>
      <c r="L7" s="6" t="s">
        <v>63</v>
      </c>
      <c r="M7" s="7" t="s">
        <v>65</v>
      </c>
      <c r="N7" s="7" t="s">
        <v>67</v>
      </c>
      <c r="O7" s="8" t="s">
        <v>67</v>
      </c>
    </row>
    <row r="8" spans="2:15" x14ac:dyDescent="0.25">
      <c r="B8" s="1" t="s">
        <v>155</v>
      </c>
      <c r="C8" s="1">
        <v>28.02</v>
      </c>
      <c r="D8" s="1">
        <v>0.38500000000000001</v>
      </c>
      <c r="E8" s="1">
        <v>9.0999999999999998E-2</v>
      </c>
      <c r="G8" s="1" t="s">
        <v>155</v>
      </c>
      <c r="H8" s="1">
        <v>28.02</v>
      </c>
      <c r="I8" s="1">
        <v>0.68899999999999995</v>
      </c>
      <c r="J8" s="1">
        <v>0.75800000000000001</v>
      </c>
      <c r="L8" s="1" t="s">
        <v>155</v>
      </c>
      <c r="M8" s="1">
        <v>28.02</v>
      </c>
      <c r="N8" s="1">
        <v>0</v>
      </c>
      <c r="O8" s="1">
        <v>0</v>
      </c>
    </row>
    <row r="9" spans="2:15" x14ac:dyDescent="0.25">
      <c r="B9" s="1" t="s">
        <v>156</v>
      </c>
      <c r="C9" s="1">
        <v>44.01</v>
      </c>
      <c r="D9" s="1">
        <v>3.5680000000000001</v>
      </c>
      <c r="E9" s="1">
        <v>1.3180000000000001</v>
      </c>
      <c r="G9" s="1" t="s">
        <v>156</v>
      </c>
      <c r="H9" s="1">
        <v>44.01</v>
      </c>
      <c r="I9" s="1">
        <v>6.3879999999999999</v>
      </c>
      <c r="J9" s="1">
        <v>11.042</v>
      </c>
      <c r="L9" s="1" t="s">
        <v>156</v>
      </c>
      <c r="M9" s="1">
        <v>44.01</v>
      </c>
      <c r="N9" s="1">
        <v>0</v>
      </c>
      <c r="O9" s="1">
        <v>0</v>
      </c>
    </row>
    <row r="10" spans="2:15" x14ac:dyDescent="0.25">
      <c r="B10" s="1" t="s">
        <v>157</v>
      </c>
      <c r="C10" s="1">
        <v>34.08</v>
      </c>
      <c r="D10" s="1">
        <v>0</v>
      </c>
      <c r="E10" s="1">
        <v>0</v>
      </c>
      <c r="G10" s="1" t="s">
        <v>157</v>
      </c>
      <c r="H10" s="1">
        <v>34.08</v>
      </c>
      <c r="I10" s="1">
        <v>0</v>
      </c>
      <c r="J10" s="1">
        <v>0</v>
      </c>
      <c r="L10" s="1" t="s">
        <v>157</v>
      </c>
      <c r="M10" s="1">
        <v>34.08</v>
      </c>
      <c r="N10" s="1">
        <v>0</v>
      </c>
      <c r="O10" s="1">
        <v>0</v>
      </c>
    </row>
    <row r="11" spans="2:15" x14ac:dyDescent="0.25">
      <c r="B11" s="1" t="s">
        <v>158</v>
      </c>
      <c r="C11" s="1">
        <v>16.04</v>
      </c>
      <c r="D11" s="1">
        <v>37.476999999999997</v>
      </c>
      <c r="E11" s="1">
        <v>5.0469999999999997</v>
      </c>
      <c r="G11" s="1" t="s">
        <v>158</v>
      </c>
      <c r="H11" s="1">
        <v>16.04</v>
      </c>
      <c r="I11" s="1">
        <v>67.036000000000001</v>
      </c>
      <c r="J11" s="1">
        <v>42.234999999999999</v>
      </c>
      <c r="L11" s="1" t="s">
        <v>158</v>
      </c>
      <c r="M11" s="1">
        <v>16.04</v>
      </c>
      <c r="N11" s="1">
        <v>8.8999999999999996E-2</v>
      </c>
      <c r="O11" s="1">
        <v>6.0000000000000001E-3</v>
      </c>
    </row>
    <row r="12" spans="2:15" x14ac:dyDescent="0.25">
      <c r="B12" s="1" t="s">
        <v>159</v>
      </c>
      <c r="C12" s="1">
        <v>30.07</v>
      </c>
      <c r="D12" s="1">
        <v>5.7009999999999996</v>
      </c>
      <c r="E12" s="1">
        <v>1.4390000000000001</v>
      </c>
      <c r="G12" s="1" t="s">
        <v>159</v>
      </c>
      <c r="H12" s="1">
        <v>30.07</v>
      </c>
      <c r="I12" s="1">
        <v>10.034000000000001</v>
      </c>
      <c r="J12" s="1">
        <v>11.849</v>
      </c>
      <c r="L12" s="1" t="s">
        <v>159</v>
      </c>
      <c r="M12" s="1">
        <v>30.07</v>
      </c>
      <c r="N12" s="1">
        <v>0.221</v>
      </c>
      <c r="O12" s="1">
        <v>2.8000000000000001E-2</v>
      </c>
    </row>
    <row r="13" spans="2:15" x14ac:dyDescent="0.25">
      <c r="B13" s="1" t="s">
        <v>160</v>
      </c>
      <c r="C13" s="1">
        <v>44.09</v>
      </c>
      <c r="D13" s="1">
        <v>5.1159999999999997</v>
      </c>
      <c r="E13" s="1">
        <v>1.8939999999999999</v>
      </c>
      <c r="G13" s="1" t="s">
        <v>160</v>
      </c>
      <c r="H13" s="1">
        <v>44.09</v>
      </c>
      <c r="I13" s="1">
        <v>8.3770000000000007</v>
      </c>
      <c r="J13" s="1">
        <v>14.507</v>
      </c>
      <c r="L13" s="1" t="s">
        <v>160</v>
      </c>
      <c r="M13" s="1">
        <v>44.09</v>
      </c>
      <c r="N13" s="1">
        <v>0.99099999999999999</v>
      </c>
      <c r="O13" s="1">
        <v>0.184</v>
      </c>
    </row>
    <row r="14" spans="2:15" x14ac:dyDescent="0.25">
      <c r="B14" s="1" t="s">
        <v>161</v>
      </c>
      <c r="C14" s="1">
        <v>58.12</v>
      </c>
      <c r="D14" s="1">
        <v>0.72399999999999998</v>
      </c>
      <c r="E14" s="1">
        <v>0.35299999999999998</v>
      </c>
      <c r="G14" s="1" t="s">
        <v>161</v>
      </c>
      <c r="H14" s="1">
        <v>58.12</v>
      </c>
      <c r="I14" s="1">
        <v>1.032</v>
      </c>
      <c r="J14" s="1">
        <v>2.355</v>
      </c>
      <c r="L14" s="1" t="s">
        <v>161</v>
      </c>
      <c r="M14" s="1">
        <v>58.12</v>
      </c>
      <c r="N14" s="1">
        <v>0.33500000000000002</v>
      </c>
      <c r="O14" s="1">
        <v>8.2000000000000003E-2</v>
      </c>
    </row>
    <row r="15" spans="2:15" x14ac:dyDescent="0.25">
      <c r="B15" s="1" t="s">
        <v>162</v>
      </c>
      <c r="C15" s="1">
        <v>58.12</v>
      </c>
      <c r="D15" s="1">
        <v>2.6440000000000001</v>
      </c>
      <c r="E15" s="1">
        <v>1.29</v>
      </c>
      <c r="G15" s="1" t="s">
        <v>162</v>
      </c>
      <c r="H15" s="1">
        <v>58.12</v>
      </c>
      <c r="I15" s="1">
        <v>3.335</v>
      </c>
      <c r="J15" s="1">
        <v>7.6139999999999999</v>
      </c>
      <c r="L15" s="1" t="s">
        <v>162</v>
      </c>
      <c r="M15" s="1">
        <v>58.12</v>
      </c>
      <c r="N15" s="1">
        <v>1.77</v>
      </c>
      <c r="O15" s="1">
        <v>0.433</v>
      </c>
    </row>
    <row r="16" spans="2:15" x14ac:dyDescent="0.25">
      <c r="B16" s="1" t="s">
        <v>163</v>
      </c>
      <c r="C16" s="1">
        <v>72.150000000000006</v>
      </c>
      <c r="D16" s="1">
        <v>1E-3</v>
      </c>
      <c r="E16" s="1">
        <v>1E-3</v>
      </c>
      <c r="G16" s="1" t="s">
        <v>163</v>
      </c>
      <c r="H16" s="1">
        <v>72.150000000000006</v>
      </c>
      <c r="I16" s="1">
        <v>0</v>
      </c>
      <c r="J16" s="1">
        <v>0</v>
      </c>
      <c r="L16" s="1" t="s">
        <v>163</v>
      </c>
      <c r="M16" s="1">
        <v>72.150000000000006</v>
      </c>
      <c r="N16" s="1">
        <v>3.0000000000000001E-3</v>
      </c>
      <c r="O16" s="1">
        <v>1E-3</v>
      </c>
    </row>
    <row r="17" spans="2:15" x14ac:dyDescent="0.25">
      <c r="B17" s="1" t="s">
        <v>164</v>
      </c>
      <c r="C17" s="1">
        <v>72.150000000000006</v>
      </c>
      <c r="D17" s="1">
        <v>0.98599999999999999</v>
      </c>
      <c r="E17" s="1">
        <v>0.59699999999999998</v>
      </c>
      <c r="G17" s="1" t="s">
        <v>164</v>
      </c>
      <c r="H17" s="1">
        <v>72.150000000000006</v>
      </c>
      <c r="I17" s="1">
        <v>0.81299999999999994</v>
      </c>
      <c r="J17" s="1">
        <v>2.3039999999999998</v>
      </c>
      <c r="L17" s="1" t="s">
        <v>164</v>
      </c>
      <c r="M17" s="1">
        <v>72.150000000000006</v>
      </c>
      <c r="N17" s="1">
        <v>1.2050000000000001</v>
      </c>
      <c r="O17" s="1">
        <v>0.36599999999999999</v>
      </c>
    </row>
    <row r="18" spans="2:15" x14ac:dyDescent="0.25">
      <c r="B18" s="1" t="s">
        <v>165</v>
      </c>
      <c r="C18" s="1">
        <v>72.150000000000006</v>
      </c>
      <c r="D18" s="1">
        <v>1.593</v>
      </c>
      <c r="E18" s="1">
        <v>0.96499999999999997</v>
      </c>
      <c r="G18" s="1" t="s">
        <v>165</v>
      </c>
      <c r="H18" s="1">
        <v>72.150000000000006</v>
      </c>
      <c r="I18" s="1">
        <v>1.0580000000000001</v>
      </c>
      <c r="J18" s="1">
        <v>2.9969999999999999</v>
      </c>
      <c r="L18" s="1" t="s">
        <v>165</v>
      </c>
      <c r="M18" s="1">
        <v>72.150000000000006</v>
      </c>
      <c r="N18" s="1">
        <v>2.2690000000000001</v>
      </c>
      <c r="O18" s="1">
        <v>0.68899999999999995</v>
      </c>
    </row>
    <row r="19" spans="2:15" x14ac:dyDescent="0.25">
      <c r="B19" s="1" t="s">
        <v>166</v>
      </c>
      <c r="C19" s="1">
        <v>84.7</v>
      </c>
      <c r="D19" s="1">
        <v>2.1989999999999998</v>
      </c>
      <c r="E19" s="1">
        <v>1.5620000000000001</v>
      </c>
      <c r="G19" s="1" t="s">
        <v>166</v>
      </c>
      <c r="H19" s="1">
        <v>84.7</v>
      </c>
      <c r="I19" s="1">
        <v>0.61599999999999999</v>
      </c>
      <c r="J19" s="1">
        <v>2.0350000000000001</v>
      </c>
      <c r="L19" s="1" t="s">
        <v>166</v>
      </c>
      <c r="M19" s="1">
        <v>84.7</v>
      </c>
      <c r="N19" s="1">
        <v>4.2</v>
      </c>
      <c r="O19" s="1">
        <v>1.498</v>
      </c>
    </row>
    <row r="20" spans="2:15" x14ac:dyDescent="0.25">
      <c r="B20" s="1" t="s">
        <v>167</v>
      </c>
      <c r="C20" s="1">
        <v>91.8</v>
      </c>
      <c r="D20" s="1">
        <v>3.3690000000000002</v>
      </c>
      <c r="E20" s="1">
        <v>2.5920000000000001</v>
      </c>
      <c r="G20" s="1" t="s">
        <v>167</v>
      </c>
      <c r="H20" s="1">
        <v>91.8</v>
      </c>
      <c r="I20" s="1">
        <v>0.45</v>
      </c>
      <c r="J20" s="1">
        <v>1.581</v>
      </c>
      <c r="L20" s="1" t="s">
        <v>167</v>
      </c>
      <c r="M20" s="1">
        <v>91.8</v>
      </c>
      <c r="N20" s="1">
        <v>7.0609999999999999</v>
      </c>
      <c r="O20" s="1">
        <v>2.7290000000000001</v>
      </c>
    </row>
    <row r="21" spans="2:15" x14ac:dyDescent="0.25">
      <c r="B21" s="1" t="s">
        <v>168</v>
      </c>
      <c r="C21" s="1">
        <v>106.8</v>
      </c>
      <c r="D21" s="1">
        <v>3.2189999999999999</v>
      </c>
      <c r="E21" s="1">
        <v>2.8839999999999999</v>
      </c>
      <c r="G21" s="1" t="s">
        <v>168</v>
      </c>
      <c r="H21" s="1">
        <v>106.8</v>
      </c>
      <c r="I21" s="1">
        <v>0.14599999999999999</v>
      </c>
      <c r="J21" s="1">
        <v>0.59899999999999998</v>
      </c>
      <c r="L21" s="1" t="s">
        <v>168</v>
      </c>
      <c r="M21" s="1">
        <v>106.8</v>
      </c>
      <c r="N21" s="1">
        <v>7.1059999999999999</v>
      </c>
      <c r="O21" s="1">
        <v>3.194</v>
      </c>
    </row>
    <row r="22" spans="2:15" x14ac:dyDescent="0.25">
      <c r="B22" s="1" t="s">
        <v>169</v>
      </c>
      <c r="C22" s="1">
        <v>121</v>
      </c>
      <c r="D22" s="1">
        <v>2.4319999999999999</v>
      </c>
      <c r="E22" s="1">
        <v>2.4710000000000001</v>
      </c>
      <c r="G22" s="1" t="s">
        <v>169</v>
      </c>
      <c r="H22" s="1">
        <v>121</v>
      </c>
      <c r="I22" s="1">
        <v>2.4E-2</v>
      </c>
      <c r="J22" s="1">
        <v>0.112</v>
      </c>
      <c r="L22" s="1" t="s">
        <v>169</v>
      </c>
      <c r="M22" s="1">
        <v>121</v>
      </c>
      <c r="N22" s="1">
        <v>5.4790000000000001</v>
      </c>
      <c r="O22" s="1">
        <v>2.7909999999999999</v>
      </c>
    </row>
    <row r="23" spans="2:15" x14ac:dyDescent="0.25">
      <c r="B23" s="1" t="s">
        <v>170</v>
      </c>
      <c r="C23" s="1">
        <v>134</v>
      </c>
      <c r="D23" s="1">
        <v>2.08</v>
      </c>
      <c r="E23" s="1">
        <v>2.34</v>
      </c>
      <c r="G23" s="1" t="s">
        <v>170</v>
      </c>
      <c r="H23" s="1">
        <v>134</v>
      </c>
      <c r="I23" s="1">
        <v>2E-3</v>
      </c>
      <c r="J23" s="1">
        <v>0.01</v>
      </c>
      <c r="L23" s="1" t="s">
        <v>170</v>
      </c>
      <c r="M23" s="1">
        <v>134</v>
      </c>
      <c r="N23" s="1">
        <v>4.7089999999999996</v>
      </c>
      <c r="O23" s="1">
        <v>2.6560000000000001</v>
      </c>
    </row>
    <row r="24" spans="2:15" x14ac:dyDescent="0.25">
      <c r="B24" s="1" t="s">
        <v>171</v>
      </c>
      <c r="C24" s="1">
        <v>147</v>
      </c>
      <c r="D24" s="1">
        <v>1.849</v>
      </c>
      <c r="E24" s="1">
        <v>2.282</v>
      </c>
      <c r="G24" s="1" t="s">
        <v>171</v>
      </c>
      <c r="H24" s="1">
        <v>147</v>
      </c>
      <c r="I24" s="1">
        <v>0</v>
      </c>
      <c r="J24" s="1">
        <v>1E-3</v>
      </c>
      <c r="L24" s="1" t="s">
        <v>171</v>
      </c>
      <c r="M24" s="1">
        <v>147</v>
      </c>
      <c r="N24" s="1">
        <v>4.1879999999999997</v>
      </c>
      <c r="O24" s="1">
        <v>2.5910000000000002</v>
      </c>
    </row>
    <row r="25" spans="2:15" x14ac:dyDescent="0.25">
      <c r="B25" s="1" t="s">
        <v>172</v>
      </c>
      <c r="C25" s="1">
        <v>161</v>
      </c>
      <c r="D25" s="1">
        <v>1.7509999999999999</v>
      </c>
      <c r="E25" s="1">
        <v>2.3660000000000001</v>
      </c>
      <c r="G25" s="1" t="s">
        <v>172</v>
      </c>
      <c r="H25" s="1">
        <v>161</v>
      </c>
      <c r="I25" s="1">
        <v>0</v>
      </c>
      <c r="J25" s="1">
        <v>1E-3</v>
      </c>
      <c r="L25" s="1" t="s">
        <v>172</v>
      </c>
      <c r="M25" s="1">
        <v>161</v>
      </c>
      <c r="N25" s="1">
        <v>3.9649999999999999</v>
      </c>
      <c r="O25" s="1">
        <v>2.6869999999999998</v>
      </c>
    </row>
    <row r="26" spans="2:15" x14ac:dyDescent="0.25">
      <c r="B26" s="1" t="s">
        <v>173</v>
      </c>
      <c r="C26" s="1">
        <v>175</v>
      </c>
      <c r="D26" s="1">
        <v>1.8260000000000001</v>
      </c>
      <c r="E26" s="1">
        <v>2.6819999999999999</v>
      </c>
      <c r="G26" s="1" t="s">
        <v>173</v>
      </c>
      <c r="H26" s="1">
        <v>175</v>
      </c>
      <c r="I26" s="1">
        <v>0</v>
      </c>
      <c r="J26" s="1">
        <v>0</v>
      </c>
      <c r="L26" s="1" t="s">
        <v>173</v>
      </c>
      <c r="M26" s="1">
        <v>175</v>
      </c>
      <c r="N26" s="1">
        <v>4.1360000000000001</v>
      </c>
      <c r="O26" s="1">
        <v>3.0459999999999998</v>
      </c>
    </row>
    <row r="27" spans="2:15" x14ac:dyDescent="0.25">
      <c r="B27" s="1" t="s">
        <v>174</v>
      </c>
      <c r="C27" s="1">
        <v>190</v>
      </c>
      <c r="D27" s="1">
        <v>2.0760000000000001</v>
      </c>
      <c r="E27" s="1">
        <v>3.3109999999999999</v>
      </c>
      <c r="G27" s="1" t="s">
        <v>174</v>
      </c>
      <c r="H27" s="1">
        <v>190</v>
      </c>
      <c r="I27" s="1">
        <v>0</v>
      </c>
      <c r="J27" s="1">
        <v>0</v>
      </c>
      <c r="L27" s="1" t="s">
        <v>174</v>
      </c>
      <c r="M27" s="1">
        <v>190</v>
      </c>
      <c r="N27" s="1">
        <v>4.702</v>
      </c>
      <c r="O27" s="1">
        <v>3.76</v>
      </c>
    </row>
    <row r="28" spans="2:15" x14ac:dyDescent="0.25">
      <c r="B28" s="1" t="s">
        <v>175</v>
      </c>
      <c r="C28" s="1">
        <v>206</v>
      </c>
      <c r="D28" s="1">
        <v>2.7669999999999999</v>
      </c>
      <c r="E28" s="1">
        <v>4.7850000000000001</v>
      </c>
      <c r="G28" s="1" t="s">
        <v>175</v>
      </c>
      <c r="H28" s="1">
        <v>206</v>
      </c>
      <c r="I28" s="1">
        <v>0</v>
      </c>
      <c r="J28" s="1">
        <v>0</v>
      </c>
      <c r="L28" s="1" t="s">
        <v>175</v>
      </c>
      <c r="M28" s="1">
        <v>206</v>
      </c>
      <c r="N28" s="1">
        <v>6.2679999999999998</v>
      </c>
      <c r="O28" s="1">
        <v>5.4340000000000002</v>
      </c>
    </row>
    <row r="29" spans="2:15" x14ac:dyDescent="0.25">
      <c r="B29" s="1" t="s">
        <v>176</v>
      </c>
      <c r="C29" s="1">
        <v>222</v>
      </c>
      <c r="D29" s="1">
        <v>2.375</v>
      </c>
      <c r="E29" s="1">
        <v>4.4260000000000002</v>
      </c>
      <c r="G29" s="1" t="s">
        <v>176</v>
      </c>
      <c r="H29" s="1">
        <v>222</v>
      </c>
      <c r="I29" s="1">
        <v>0</v>
      </c>
      <c r="J29" s="1">
        <v>0</v>
      </c>
      <c r="L29" s="1" t="s">
        <v>176</v>
      </c>
      <c r="M29" s="1">
        <v>222</v>
      </c>
      <c r="N29" s="1">
        <v>5.3789999999999996</v>
      </c>
      <c r="O29" s="1">
        <v>5.0259999999999998</v>
      </c>
    </row>
    <row r="30" spans="2:15" x14ac:dyDescent="0.25">
      <c r="B30" s="1" t="s">
        <v>177</v>
      </c>
      <c r="C30" s="1">
        <v>237</v>
      </c>
      <c r="D30" s="1">
        <v>1.954</v>
      </c>
      <c r="E30" s="1">
        <v>3.887</v>
      </c>
      <c r="G30" s="1" t="s">
        <v>177</v>
      </c>
      <c r="H30" s="1">
        <v>237</v>
      </c>
      <c r="I30" s="1">
        <v>0</v>
      </c>
      <c r="J30" s="1">
        <v>0</v>
      </c>
      <c r="L30" s="1" t="s">
        <v>177</v>
      </c>
      <c r="M30" s="1">
        <v>237</v>
      </c>
      <c r="N30" s="1">
        <v>4.4249999999999998</v>
      </c>
      <c r="O30" s="1">
        <v>4.4139999999999997</v>
      </c>
    </row>
    <row r="31" spans="2:15" x14ac:dyDescent="0.25">
      <c r="B31" s="1" t="s">
        <v>178</v>
      </c>
      <c r="C31" s="1">
        <v>251</v>
      </c>
      <c r="D31" s="1">
        <v>1.3959999999999999</v>
      </c>
      <c r="E31" s="1">
        <v>2.9420000000000002</v>
      </c>
      <c r="G31" s="1" t="s">
        <v>178</v>
      </c>
      <c r="H31" s="1">
        <v>251</v>
      </c>
      <c r="I31" s="1">
        <v>0</v>
      </c>
      <c r="J31" s="1">
        <v>0</v>
      </c>
      <c r="L31" s="1" t="s">
        <v>178</v>
      </c>
      <c r="M31" s="1">
        <v>251</v>
      </c>
      <c r="N31" s="1">
        <v>3.1629999999999998</v>
      </c>
      <c r="O31" s="1">
        <v>3.3410000000000002</v>
      </c>
    </row>
    <row r="32" spans="2:15" x14ac:dyDescent="0.25">
      <c r="B32" s="1" t="s">
        <v>179</v>
      </c>
      <c r="C32" s="1">
        <v>263</v>
      </c>
      <c r="D32" s="1">
        <v>1.093</v>
      </c>
      <c r="E32" s="1">
        <v>2.4129999999999998</v>
      </c>
      <c r="G32" s="1" t="s">
        <v>179</v>
      </c>
      <c r="H32" s="1">
        <v>263</v>
      </c>
      <c r="I32" s="1">
        <v>0</v>
      </c>
      <c r="J32" s="1">
        <v>0</v>
      </c>
      <c r="L32" s="1" t="s">
        <v>179</v>
      </c>
      <c r="M32" s="1">
        <v>263</v>
      </c>
      <c r="N32" s="1">
        <v>2.4750000000000001</v>
      </c>
      <c r="O32" s="1">
        <v>2.74</v>
      </c>
    </row>
    <row r="33" spans="2:15" x14ac:dyDescent="0.25">
      <c r="B33" s="1" t="s">
        <v>180</v>
      </c>
      <c r="C33" s="1">
        <v>275</v>
      </c>
      <c r="D33" s="1">
        <v>0.74099999999999999</v>
      </c>
      <c r="E33" s="1">
        <v>1.71</v>
      </c>
      <c r="G33" s="1" t="s">
        <v>180</v>
      </c>
      <c r="H33" s="1">
        <v>275</v>
      </c>
      <c r="I33" s="1">
        <v>0</v>
      </c>
      <c r="J33" s="1">
        <v>0</v>
      </c>
      <c r="L33" s="1" t="s">
        <v>180</v>
      </c>
      <c r="M33" s="1">
        <v>275</v>
      </c>
      <c r="N33" s="1">
        <v>1.6779999999999999</v>
      </c>
      <c r="O33" s="1">
        <v>1.9419999999999999</v>
      </c>
    </row>
    <row r="34" spans="2:15" x14ac:dyDescent="0.25">
      <c r="B34" s="1" t="s">
        <v>181</v>
      </c>
      <c r="C34" s="1">
        <v>291</v>
      </c>
      <c r="D34" s="1">
        <v>0.65500000000000003</v>
      </c>
      <c r="E34" s="1">
        <v>1.6</v>
      </c>
      <c r="G34" s="1" t="s">
        <v>181</v>
      </c>
      <c r="H34" s="1">
        <v>291</v>
      </c>
      <c r="I34" s="1">
        <v>0</v>
      </c>
      <c r="J34" s="1">
        <v>0</v>
      </c>
      <c r="L34" s="1" t="s">
        <v>181</v>
      </c>
      <c r="M34" s="1">
        <v>291</v>
      </c>
      <c r="N34" s="1">
        <v>1.484</v>
      </c>
      <c r="O34" s="1">
        <v>1.8169999999999999</v>
      </c>
    </row>
    <row r="35" spans="2:15" x14ac:dyDescent="0.25">
      <c r="B35" s="1" t="s">
        <v>182</v>
      </c>
      <c r="C35" s="1">
        <v>300</v>
      </c>
      <c r="D35" s="1">
        <v>0.59399999999999997</v>
      </c>
      <c r="E35" s="1">
        <v>1.496</v>
      </c>
      <c r="G35" s="1" t="s">
        <v>182</v>
      </c>
      <c r="H35" s="1">
        <v>300</v>
      </c>
      <c r="I35" s="1">
        <v>0</v>
      </c>
      <c r="J35" s="1">
        <v>0</v>
      </c>
      <c r="L35" s="1" t="s">
        <v>182</v>
      </c>
      <c r="M35" s="1">
        <v>300</v>
      </c>
      <c r="N35" s="1">
        <v>1.3460000000000001</v>
      </c>
      <c r="O35" s="1">
        <v>1.6990000000000001</v>
      </c>
    </row>
    <row r="36" spans="2:15" x14ac:dyDescent="0.25">
      <c r="B36" s="1" t="s">
        <v>183</v>
      </c>
      <c r="C36" s="1">
        <v>312</v>
      </c>
      <c r="D36" s="1">
        <v>0.53400000000000003</v>
      </c>
      <c r="E36" s="1">
        <v>1.3979999999999999</v>
      </c>
      <c r="G36" s="1" t="s">
        <v>183</v>
      </c>
      <c r="H36" s="1">
        <v>312</v>
      </c>
      <c r="I36" s="1">
        <v>0</v>
      </c>
      <c r="J36" s="1">
        <v>0</v>
      </c>
      <c r="L36" s="1" t="s">
        <v>183</v>
      </c>
      <c r="M36" s="1">
        <v>312</v>
      </c>
      <c r="N36" s="1">
        <v>1.2090000000000001</v>
      </c>
      <c r="O36" s="1">
        <v>1.587</v>
      </c>
    </row>
    <row r="37" spans="2:15" x14ac:dyDescent="0.25">
      <c r="B37" s="1" t="s">
        <v>184</v>
      </c>
      <c r="C37" s="1">
        <v>324</v>
      </c>
      <c r="D37" s="1">
        <v>0.49199999999999999</v>
      </c>
      <c r="E37" s="1">
        <v>1.339</v>
      </c>
      <c r="G37" s="1" t="s">
        <v>184</v>
      </c>
      <c r="H37" s="1">
        <v>324</v>
      </c>
      <c r="I37" s="1">
        <v>0</v>
      </c>
      <c r="J37" s="1">
        <v>0</v>
      </c>
      <c r="L37" s="1" t="s">
        <v>184</v>
      </c>
      <c r="M37" s="1">
        <v>324</v>
      </c>
      <c r="N37" s="1">
        <v>1.115</v>
      </c>
      <c r="O37" s="1">
        <v>1.52</v>
      </c>
    </row>
    <row r="38" spans="2:15" x14ac:dyDescent="0.25">
      <c r="B38" s="1" t="s">
        <v>185</v>
      </c>
      <c r="C38" s="1">
        <v>337</v>
      </c>
      <c r="D38" s="1">
        <v>0.45200000000000001</v>
      </c>
      <c r="E38" s="1">
        <v>1.2789999999999999</v>
      </c>
      <c r="G38" s="1" t="s">
        <v>185</v>
      </c>
      <c r="H38" s="1">
        <v>337</v>
      </c>
      <c r="I38" s="1">
        <v>0</v>
      </c>
      <c r="J38" s="1">
        <v>0</v>
      </c>
      <c r="L38" s="1" t="s">
        <v>185</v>
      </c>
      <c r="M38" s="1">
        <v>337</v>
      </c>
      <c r="N38" s="1">
        <v>1.024</v>
      </c>
      <c r="O38" s="1">
        <v>1.452</v>
      </c>
    </row>
    <row r="39" spans="2:15" x14ac:dyDescent="0.25">
      <c r="B39" s="1" t="s">
        <v>186</v>
      </c>
      <c r="C39" s="1">
        <v>349</v>
      </c>
      <c r="D39" s="1">
        <v>0.436</v>
      </c>
      <c r="E39" s="1">
        <v>1.276</v>
      </c>
      <c r="G39" s="1" t="s">
        <v>186</v>
      </c>
      <c r="H39" s="1">
        <v>349</v>
      </c>
      <c r="I39" s="1">
        <v>0</v>
      </c>
      <c r="J39" s="1">
        <v>0</v>
      </c>
      <c r="L39" s="1" t="s">
        <v>186</v>
      </c>
      <c r="M39" s="1">
        <v>349</v>
      </c>
      <c r="N39" s="1">
        <v>0.98599999999999999</v>
      </c>
      <c r="O39" s="1">
        <v>1.4490000000000001</v>
      </c>
    </row>
    <row r="40" spans="2:15" x14ac:dyDescent="0.25">
      <c r="B40" s="1" t="s">
        <v>187</v>
      </c>
      <c r="C40" s="1">
        <v>360</v>
      </c>
      <c r="D40" s="1">
        <v>0.40899999999999997</v>
      </c>
      <c r="E40" s="1">
        <v>1.2350000000000001</v>
      </c>
      <c r="G40" s="1" t="s">
        <v>187</v>
      </c>
      <c r="H40" s="1">
        <v>360</v>
      </c>
      <c r="I40" s="1">
        <v>0</v>
      </c>
      <c r="J40" s="1">
        <v>0</v>
      </c>
      <c r="L40" s="1" t="s">
        <v>187</v>
      </c>
      <c r="M40" s="1">
        <v>360</v>
      </c>
      <c r="N40" s="1">
        <v>0.92500000000000004</v>
      </c>
      <c r="O40" s="1">
        <v>1.4019999999999999</v>
      </c>
    </row>
    <row r="41" spans="2:15" x14ac:dyDescent="0.25">
      <c r="B41" s="1" t="s">
        <v>188</v>
      </c>
      <c r="C41" s="1">
        <v>372</v>
      </c>
      <c r="D41" s="1">
        <v>0.39800000000000002</v>
      </c>
      <c r="E41" s="1">
        <v>1.2430000000000001</v>
      </c>
      <c r="G41" s="1" t="s">
        <v>188</v>
      </c>
      <c r="H41" s="1">
        <v>372</v>
      </c>
      <c r="I41" s="1">
        <v>0</v>
      </c>
      <c r="J41" s="1">
        <v>0</v>
      </c>
      <c r="L41" s="1" t="s">
        <v>188</v>
      </c>
      <c r="M41" s="1">
        <v>372</v>
      </c>
      <c r="N41" s="1">
        <v>0.90100000000000002</v>
      </c>
      <c r="O41" s="1">
        <v>1.411</v>
      </c>
    </row>
    <row r="42" spans="2:15" x14ac:dyDescent="0.25">
      <c r="B42" s="1" t="s">
        <v>189</v>
      </c>
      <c r="C42" s="1">
        <v>382</v>
      </c>
      <c r="D42" s="1">
        <v>0.39800000000000002</v>
      </c>
      <c r="E42" s="1">
        <v>1.278</v>
      </c>
      <c r="G42" s="1" t="s">
        <v>189</v>
      </c>
      <c r="H42" s="1">
        <v>382</v>
      </c>
      <c r="I42" s="1">
        <v>0</v>
      </c>
      <c r="J42" s="1">
        <v>0</v>
      </c>
      <c r="L42" s="1" t="s">
        <v>189</v>
      </c>
      <c r="M42" s="1">
        <v>382</v>
      </c>
      <c r="N42" s="1">
        <v>0.90300000000000002</v>
      </c>
      <c r="O42" s="1">
        <v>1.4510000000000001</v>
      </c>
    </row>
    <row r="43" spans="2:15" x14ac:dyDescent="0.25">
      <c r="B43" s="1" t="s">
        <v>190</v>
      </c>
      <c r="C43" s="1">
        <v>394</v>
      </c>
      <c r="D43" s="1">
        <v>0.39200000000000002</v>
      </c>
      <c r="E43" s="1">
        <v>1.2969999999999999</v>
      </c>
      <c r="G43" s="1" t="s">
        <v>190</v>
      </c>
      <c r="H43" s="1">
        <v>394</v>
      </c>
      <c r="I43" s="1">
        <v>0</v>
      </c>
      <c r="J43" s="1">
        <v>0</v>
      </c>
      <c r="L43" s="1" t="s">
        <v>190</v>
      </c>
      <c r="M43" s="1">
        <v>394</v>
      </c>
      <c r="N43" s="1">
        <v>0.88800000000000001</v>
      </c>
      <c r="O43" s="1">
        <v>1.4730000000000001</v>
      </c>
    </row>
    <row r="44" spans="2:15" x14ac:dyDescent="0.25">
      <c r="B44" s="1" t="s">
        <v>191</v>
      </c>
      <c r="C44" s="1">
        <v>404</v>
      </c>
      <c r="D44" s="1">
        <v>0.377</v>
      </c>
      <c r="E44" s="1">
        <v>1.28</v>
      </c>
      <c r="G44" s="1" t="s">
        <v>191</v>
      </c>
      <c r="H44" s="1">
        <v>404</v>
      </c>
      <c r="I44" s="1">
        <v>0</v>
      </c>
      <c r="J44" s="1">
        <v>0</v>
      </c>
      <c r="L44" s="1" t="s">
        <v>191</v>
      </c>
      <c r="M44" s="1">
        <v>404</v>
      </c>
      <c r="N44" s="1">
        <v>0.85499999999999998</v>
      </c>
      <c r="O44" s="1">
        <v>1.4530000000000001</v>
      </c>
    </row>
    <row r="45" spans="2:15" x14ac:dyDescent="0.25">
      <c r="B45" s="1" t="s">
        <v>192</v>
      </c>
      <c r="C45" s="1">
        <v>415</v>
      </c>
      <c r="D45" s="1">
        <v>0.34</v>
      </c>
      <c r="E45" s="1">
        <v>1.1839999999999999</v>
      </c>
      <c r="G45" s="1" t="s">
        <v>192</v>
      </c>
      <c r="H45" s="1">
        <v>415</v>
      </c>
      <c r="I45" s="1">
        <v>0</v>
      </c>
      <c r="J45" s="1">
        <v>0</v>
      </c>
      <c r="L45" s="1" t="s">
        <v>192</v>
      </c>
      <c r="M45" s="1">
        <v>415</v>
      </c>
      <c r="N45" s="1">
        <v>0.76900000000000002</v>
      </c>
      <c r="O45" s="1">
        <v>1.3440000000000001</v>
      </c>
    </row>
    <row r="46" spans="2:15" x14ac:dyDescent="0.25">
      <c r="B46" s="1" t="s">
        <v>193</v>
      </c>
      <c r="C46" s="1">
        <v>426</v>
      </c>
      <c r="D46" s="1">
        <v>0.29199999999999998</v>
      </c>
      <c r="E46" s="1">
        <v>1.044</v>
      </c>
      <c r="G46" s="1" t="s">
        <v>193</v>
      </c>
      <c r="H46" s="1">
        <v>426</v>
      </c>
      <c r="I46" s="1">
        <v>0</v>
      </c>
      <c r="J46" s="1">
        <v>0</v>
      </c>
      <c r="L46" s="1" t="s">
        <v>193</v>
      </c>
      <c r="M46" s="1">
        <v>426</v>
      </c>
      <c r="N46" s="1">
        <v>0.66100000000000003</v>
      </c>
      <c r="O46" s="1">
        <v>1.1859999999999999</v>
      </c>
    </row>
    <row r="47" spans="2:15" x14ac:dyDescent="0.25">
      <c r="B47" s="1" t="s">
        <v>194</v>
      </c>
      <c r="C47" s="1">
        <v>437</v>
      </c>
      <c r="D47" s="1">
        <v>0.26800000000000002</v>
      </c>
      <c r="E47" s="1">
        <v>0.98299999999999998</v>
      </c>
      <c r="G47" s="1" t="s">
        <v>194</v>
      </c>
      <c r="H47" s="1">
        <v>437</v>
      </c>
      <c r="I47" s="1">
        <v>0</v>
      </c>
      <c r="J47" s="1">
        <v>0</v>
      </c>
      <c r="L47" s="1" t="s">
        <v>194</v>
      </c>
      <c r="M47" s="1">
        <v>437</v>
      </c>
      <c r="N47" s="1">
        <v>0.60699999999999998</v>
      </c>
      <c r="O47" s="1">
        <v>1.1160000000000001</v>
      </c>
    </row>
    <row r="48" spans="2:15" x14ac:dyDescent="0.25">
      <c r="B48" s="1" t="s">
        <v>195</v>
      </c>
      <c r="C48" s="1">
        <v>445</v>
      </c>
      <c r="D48" s="1">
        <v>0.253</v>
      </c>
      <c r="E48" s="1">
        <v>0.94499999999999995</v>
      </c>
      <c r="G48" s="1" t="s">
        <v>195</v>
      </c>
      <c r="H48" s="1">
        <v>445</v>
      </c>
      <c r="I48" s="1">
        <v>0</v>
      </c>
      <c r="J48" s="1">
        <v>0</v>
      </c>
      <c r="L48" s="1" t="s">
        <v>195</v>
      </c>
      <c r="M48" s="1">
        <v>445</v>
      </c>
      <c r="N48" s="1">
        <v>0.57299999999999995</v>
      </c>
      <c r="O48" s="1">
        <v>1.073</v>
      </c>
    </row>
    <row r="49" spans="2:15" x14ac:dyDescent="0.25">
      <c r="B49" s="1" t="s">
        <v>196</v>
      </c>
      <c r="C49" s="1">
        <v>692</v>
      </c>
      <c r="D49" s="1">
        <v>4.3869999999999996</v>
      </c>
      <c r="E49" s="1">
        <v>25.475999999999999</v>
      </c>
      <c r="G49" s="1" t="s">
        <v>196</v>
      </c>
      <c r="H49" s="1">
        <v>692</v>
      </c>
      <c r="I49" s="1">
        <v>0</v>
      </c>
      <c r="J49" s="1">
        <v>0</v>
      </c>
      <c r="L49" s="1" t="s">
        <v>196</v>
      </c>
      <c r="M49" s="1">
        <v>692</v>
      </c>
      <c r="N49" s="1">
        <v>9.9359999999999999</v>
      </c>
      <c r="O49" s="1">
        <v>28.928999999999998</v>
      </c>
    </row>
  </sheetData>
  <mergeCells count="15">
    <mergeCell ref="G5:H5"/>
    <mergeCell ref="L5:M5"/>
    <mergeCell ref="B5:C5"/>
    <mergeCell ref="G2:J2"/>
    <mergeCell ref="G3:H3"/>
    <mergeCell ref="I3:J3"/>
    <mergeCell ref="G4:H4"/>
    <mergeCell ref="L2:O2"/>
    <mergeCell ref="L3:M3"/>
    <mergeCell ref="N3:O3"/>
    <mergeCell ref="L4:M4"/>
    <mergeCell ref="B2:E2"/>
    <mergeCell ref="B3:C3"/>
    <mergeCell ref="D3:E3"/>
    <mergeCell ref="B4:C4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68EF6508-365E-4481-B436-BE60B179C588}">
            <xm:f>IF('General Info'!$L$13:$O$13&lt;&gt;"Oil",1,0)</xm:f>
            <x14:dxf>
              <font>
                <color theme="0"/>
              </font>
              <fill>
                <patternFill>
                  <bgColor theme="0"/>
                </patternFill>
              </fill>
              <border>
                <left/>
                <right/>
                <top style="thin">
                  <color auto="1"/>
                </top>
              </border>
            </x14:dxf>
          </x14:cfRule>
          <xm:sqref>B5:E5 L5:O5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6106DB0-C5B5-42D3-B252-246DE30D7176}">
          <x14:formula1>
            <xm:f>units!$G$2:$G$13</xm:f>
          </x14:formula1>
          <xm:sqref>E4</xm:sqref>
        </x14:dataValidation>
        <x14:dataValidation type="list" allowBlank="1" showInputMessage="1" showErrorMessage="1" xr:uid="{5F137B23-A649-4F93-82EE-9DEF4EF1F24C}">
          <x14:formula1>
            <xm:f>units!$H$2:$H$5</xm:f>
          </x14:formula1>
          <xm:sqref>O4</xm:sqref>
        </x14:dataValidation>
        <x14:dataValidation type="list" allowBlank="1" showInputMessage="1" showErrorMessage="1" xr:uid="{1246A18F-8B2F-4196-8AC9-292C7AD918E4}">
          <x14:formula1>
            <xm:f>units!$I$2:$I$6</xm:f>
          </x14:formula1>
          <xm:sqref>J4</xm:sqref>
        </x14:dataValidation>
        <x14:dataValidation type="list" allowBlank="1" showInputMessage="1" showErrorMessage="1" xr:uid="{46BAACA9-3DFD-43BB-A318-DF3D7D73EE94}">
          <x14:formula1>
            <xm:f>units!$E$2:$E$5</xm:f>
          </x14:formula1>
          <xm:sqref>J5</xm:sqref>
        </x14:dataValidation>
        <x14:dataValidation type="list" allowBlank="1" showInputMessage="1" showErrorMessage="1" xr:uid="{119C18BC-664C-426D-8C91-14FD423F5FF6}">
          <x14:formula1>
            <xm:f>units!$J$2:$J$3</xm:f>
          </x14:formula1>
          <xm:sqref>E5 O5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6578D-8FFF-4AF5-B8A9-FD16AAC04617}">
  <dimension ref="B2:M22"/>
  <sheetViews>
    <sheetView zoomScaleNormal="100" workbookViewId="0"/>
  </sheetViews>
  <sheetFormatPr defaultRowHeight="14.25" x14ac:dyDescent="0.25"/>
  <cols>
    <col min="1" max="2" width="9.140625" style="1"/>
    <col min="3" max="3" width="9.5703125" style="1" bestFit="1" customWidth="1"/>
    <col min="4" max="4" width="9.140625" style="1"/>
    <col min="5" max="5" width="11.85546875" style="1" bestFit="1" customWidth="1"/>
    <col min="6" max="8" width="9.140625" style="1"/>
    <col min="9" max="9" width="10.28515625" style="1" bestFit="1" customWidth="1"/>
    <col min="10" max="10" width="14.28515625" style="1" bestFit="1" customWidth="1"/>
    <col min="11" max="11" width="14.5703125" style="1" bestFit="1" customWidth="1"/>
    <col min="12" max="12" width="15" style="1" bestFit="1" customWidth="1"/>
    <col min="13" max="16384" width="9.140625" style="1"/>
  </cols>
  <sheetData>
    <row r="2" spans="2:13" ht="14.25" customHeight="1" x14ac:dyDescent="0.25">
      <c r="H2" s="59" t="s">
        <v>122</v>
      </c>
      <c r="I2" s="59"/>
      <c r="J2" s="59"/>
      <c r="K2" s="59"/>
      <c r="L2" s="59"/>
      <c r="M2" s="59"/>
    </row>
    <row r="3" spans="2:13" ht="15" x14ac:dyDescent="0.25">
      <c r="B3" s="27" t="s">
        <v>108</v>
      </c>
      <c r="C3" s="28"/>
      <c r="D3" s="28"/>
      <c r="E3" s="28"/>
      <c r="F3" s="29"/>
      <c r="H3" s="27" t="s">
        <v>109</v>
      </c>
      <c r="I3" s="28"/>
      <c r="J3" s="28"/>
      <c r="K3" s="28"/>
      <c r="L3" s="28"/>
      <c r="M3" s="29"/>
    </row>
    <row r="4" spans="2:13" ht="15" x14ac:dyDescent="0.25">
      <c r="B4" s="55" t="s">
        <v>102</v>
      </c>
      <c r="C4" s="56"/>
      <c r="D4" s="56"/>
      <c r="E4" s="57" t="s">
        <v>106</v>
      </c>
      <c r="F4" s="58"/>
      <c r="H4" s="3"/>
      <c r="I4" s="4"/>
      <c r="J4" s="4" t="s">
        <v>111</v>
      </c>
      <c r="K4" s="4" t="s">
        <v>114</v>
      </c>
      <c r="L4" s="4" t="s">
        <v>111</v>
      </c>
      <c r="M4" s="5"/>
    </row>
    <row r="5" spans="2:13" ht="15" x14ac:dyDescent="0.25">
      <c r="B5" s="51" t="s">
        <v>103</v>
      </c>
      <c r="C5" s="52"/>
      <c r="D5" s="52"/>
      <c r="E5" s="14">
        <v>213.1</v>
      </c>
      <c r="F5" s="24" t="s">
        <v>30</v>
      </c>
      <c r="H5" s="18" t="s">
        <v>110</v>
      </c>
      <c r="I5" s="15" t="s">
        <v>28</v>
      </c>
      <c r="J5" s="15" t="s">
        <v>112</v>
      </c>
      <c r="K5" s="15" t="s">
        <v>101</v>
      </c>
      <c r="L5" s="15" t="s">
        <v>115</v>
      </c>
      <c r="M5" s="19" t="s">
        <v>121</v>
      </c>
    </row>
    <row r="6" spans="2:13" x14ac:dyDescent="0.25">
      <c r="B6" s="60" t="s">
        <v>104</v>
      </c>
      <c r="C6" s="61"/>
      <c r="D6" s="61"/>
      <c r="E6" s="10">
        <v>107</v>
      </c>
      <c r="F6" s="2" t="s">
        <v>38</v>
      </c>
      <c r="H6" s="21"/>
      <c r="I6" s="22" t="s">
        <v>30</v>
      </c>
      <c r="J6" s="22" t="s">
        <v>113</v>
      </c>
      <c r="K6" s="22" t="s">
        <v>92</v>
      </c>
      <c r="L6" s="22" t="s">
        <v>117</v>
      </c>
      <c r="M6" s="23" t="s">
        <v>113</v>
      </c>
    </row>
    <row r="7" spans="2:13" x14ac:dyDescent="0.25">
      <c r="H7" s="1">
        <v>1</v>
      </c>
      <c r="I7" s="1">
        <v>401.1</v>
      </c>
      <c r="J7" s="1">
        <v>0.97030000000000005</v>
      </c>
    </row>
    <row r="8" spans="2:13" x14ac:dyDescent="0.25">
      <c r="H8" s="1">
        <v>2</v>
      </c>
      <c r="I8" s="1">
        <v>374</v>
      </c>
      <c r="J8" s="1">
        <v>0.97350000000000003</v>
      </c>
    </row>
    <row r="9" spans="2:13" x14ac:dyDescent="0.25">
      <c r="H9" s="1">
        <v>3</v>
      </c>
      <c r="I9" s="1">
        <v>350.8</v>
      </c>
      <c r="J9" s="1">
        <v>0.97689999999999999</v>
      </c>
    </row>
    <row r="10" spans="2:13" x14ac:dyDescent="0.25">
      <c r="H10" s="1">
        <v>4</v>
      </c>
      <c r="I10" s="1">
        <v>332.8</v>
      </c>
      <c r="J10" s="1">
        <v>0.97950000000000004</v>
      </c>
    </row>
    <row r="11" spans="2:13" x14ac:dyDescent="0.25">
      <c r="H11" s="1">
        <v>5</v>
      </c>
      <c r="I11" s="1">
        <v>326.2</v>
      </c>
      <c r="J11" s="1">
        <v>0.98060000000000003</v>
      </c>
    </row>
    <row r="12" spans="2:13" x14ac:dyDescent="0.25">
      <c r="H12" s="1">
        <v>6</v>
      </c>
      <c r="I12" s="1">
        <v>301.3</v>
      </c>
      <c r="J12" s="1">
        <v>0.98480000000000001</v>
      </c>
    </row>
    <row r="13" spans="2:13" x14ac:dyDescent="0.25">
      <c r="H13" s="1">
        <v>7</v>
      </c>
      <c r="I13" s="1">
        <v>276.5</v>
      </c>
      <c r="J13" s="1">
        <v>0.98880000000000001</v>
      </c>
    </row>
    <row r="14" spans="2:13" x14ac:dyDescent="0.25">
      <c r="H14" s="1">
        <v>8</v>
      </c>
      <c r="I14" s="1">
        <v>251.4</v>
      </c>
      <c r="J14" s="1">
        <v>0.9929</v>
      </c>
    </row>
    <row r="15" spans="2:13" x14ac:dyDescent="0.25">
      <c r="H15" s="1">
        <v>9</v>
      </c>
      <c r="I15" s="1">
        <v>226.6</v>
      </c>
      <c r="J15" s="1">
        <v>0.99750000000000005</v>
      </c>
    </row>
    <row r="16" spans="2:13" x14ac:dyDescent="0.25">
      <c r="H16" s="1">
        <v>10</v>
      </c>
      <c r="I16" s="1">
        <v>213.1</v>
      </c>
      <c r="J16" s="1">
        <v>1</v>
      </c>
    </row>
    <row r="17" spans="8:10" x14ac:dyDescent="0.25">
      <c r="H17" s="1">
        <v>11</v>
      </c>
      <c r="I17" s="1">
        <v>202.2</v>
      </c>
      <c r="J17" s="1">
        <v>1.0146999999999999</v>
      </c>
    </row>
    <row r="18" spans="8:10" x14ac:dyDescent="0.25">
      <c r="H18" s="1">
        <v>12</v>
      </c>
      <c r="I18" s="1">
        <v>177.1</v>
      </c>
      <c r="J18" s="1">
        <v>1.0586</v>
      </c>
    </row>
    <row r="19" spans="8:10" x14ac:dyDescent="0.25">
      <c r="H19" s="1">
        <v>13</v>
      </c>
      <c r="I19" s="1">
        <v>151</v>
      </c>
      <c r="J19" s="1">
        <v>1.1272</v>
      </c>
    </row>
    <row r="20" spans="8:10" x14ac:dyDescent="0.25">
      <c r="H20" s="1">
        <v>14</v>
      </c>
      <c r="I20" s="1">
        <v>126.2</v>
      </c>
      <c r="J20" s="1">
        <v>1.2253000000000001</v>
      </c>
    </row>
    <row r="21" spans="8:10" x14ac:dyDescent="0.25">
      <c r="H21" s="1">
        <v>15</v>
      </c>
      <c r="I21" s="1">
        <v>100.5</v>
      </c>
      <c r="J21" s="1">
        <v>1.3937999999999999</v>
      </c>
    </row>
    <row r="22" spans="8:10" x14ac:dyDescent="0.25">
      <c r="H22" s="1">
        <v>16</v>
      </c>
      <c r="I22" s="1">
        <v>81.7</v>
      </c>
      <c r="J22" s="1">
        <v>1.6013999999999999</v>
      </c>
    </row>
  </sheetData>
  <mergeCells count="7">
    <mergeCell ref="H2:M2"/>
    <mergeCell ref="E4:F4"/>
    <mergeCell ref="B4:D4"/>
    <mergeCell ref="B5:D5"/>
    <mergeCell ref="B6:D6"/>
    <mergeCell ref="B3:F3"/>
    <mergeCell ref="H3:M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11407C0-CCC6-4667-BB9B-51FF7D1646A6}">
          <x14:formula1>
            <xm:f>'sample options'!$D$2:$D$3</xm:f>
          </x14:formula1>
          <xm:sqref>E4</xm:sqref>
        </x14:dataValidation>
        <x14:dataValidation type="list" allowBlank="1" showInputMessage="1" showErrorMessage="1" xr:uid="{A231B191-158F-4349-A8A4-4B04E6FB2976}">
          <x14:formula1>
            <xm:f>units!$D$2:$D$9</xm:f>
          </x14:formula1>
          <xm:sqref>F5 I6</xm:sqref>
        </x14:dataValidation>
        <x14:dataValidation type="list" allowBlank="1" showInputMessage="1" showErrorMessage="1" xr:uid="{CCA35FBA-D983-4C6D-8C9E-27665E7ADD30}">
          <x14:formula1>
            <xm:f>units!$E$2:$E$5</xm:f>
          </x14:formula1>
          <xm:sqref>F6</xm:sqref>
        </x14:dataValidation>
        <x14:dataValidation type="list" allowBlank="1" showInputMessage="1" showErrorMessage="1" xr:uid="{3EDF76FF-E329-49D1-97EE-C6106B5BADDA}">
          <x14:formula1>
            <xm:f>units!$H$2:$H$5</xm:f>
          </x14:formula1>
          <xm:sqref>K6</xm:sqref>
        </x14:dataValidation>
        <x14:dataValidation type="list" allowBlank="1" showInputMessage="1" showErrorMessage="1" xr:uid="{FCBEDABE-F162-4433-910C-F9CF71303307}">
          <x14:formula1>
            <xm:f>'sample options'!$E$2:$E$5</xm:f>
          </x14:formula1>
          <xm:sqref>L6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3AC7F-30B7-45D7-A26E-10FC399A7B05}">
  <dimension ref="A2:AM501"/>
  <sheetViews>
    <sheetView workbookViewId="0"/>
  </sheetViews>
  <sheetFormatPr defaultRowHeight="14.25" x14ac:dyDescent="0.25"/>
  <cols>
    <col min="1" max="1" width="9.140625" style="1"/>
    <col min="2" max="2" width="15.42578125" style="1" customWidth="1"/>
    <col min="3" max="3" width="9.5703125" style="1" customWidth="1"/>
    <col min="4" max="4" width="10" style="1" customWidth="1"/>
    <col min="5" max="5" width="12.42578125" style="1" customWidth="1"/>
    <col min="6" max="8" width="9.140625" style="1"/>
    <col min="9" max="9" width="10.28515625" style="1" bestFit="1" customWidth="1"/>
    <col min="10" max="10" width="14.28515625" style="1" bestFit="1" customWidth="1"/>
    <col min="11" max="11" width="17.85546875" style="1" bestFit="1" customWidth="1"/>
    <col min="12" max="12" width="15.42578125" style="1" bestFit="1" customWidth="1"/>
    <col min="13" max="13" width="15.5703125" style="1" bestFit="1" customWidth="1"/>
    <col min="14" max="16" width="9.140625" style="1"/>
    <col min="17" max="17" width="9.85546875" style="1" bestFit="1" customWidth="1"/>
    <col min="18" max="18" width="9.140625" style="1"/>
    <col min="19" max="19" width="12.7109375" style="1" bestFit="1" customWidth="1"/>
    <col min="20" max="20" width="10.5703125" style="1" bestFit="1" customWidth="1"/>
    <col min="21" max="22" width="9.7109375" style="1" bestFit="1" customWidth="1"/>
    <col min="23" max="23" width="9.140625" style="1"/>
    <col min="24" max="24" width="12.7109375" style="1" bestFit="1" customWidth="1"/>
    <col min="25" max="25" width="10.5703125" style="1" bestFit="1" customWidth="1"/>
    <col min="26" max="75" width="13.85546875" style="1" bestFit="1" customWidth="1"/>
    <col min="76" max="16384" width="9.140625" style="1"/>
  </cols>
  <sheetData>
    <row r="2" spans="2:39" ht="18" x14ac:dyDescent="0.25">
      <c r="X2" s="62" t="s">
        <v>146</v>
      </c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7"/>
    </row>
    <row r="3" spans="2:39" ht="15" customHeight="1" x14ac:dyDescent="0.25">
      <c r="H3" s="65" t="s">
        <v>141</v>
      </c>
      <c r="I3" s="65"/>
      <c r="J3" s="65"/>
      <c r="K3" s="65"/>
      <c r="L3" s="65"/>
      <c r="M3" s="65"/>
      <c r="N3" s="65"/>
      <c r="O3" s="65"/>
      <c r="P3" s="65"/>
      <c r="Q3" s="65"/>
      <c r="X3" s="25"/>
      <c r="Y3" s="26"/>
      <c r="Z3" s="4" t="str">
        <f t="shared" ref="Z3:AI3" si="0">_xlfn.CONCAT("Stage ", A500)</f>
        <v>Stage 1</v>
      </c>
      <c r="AA3" s="4" t="str">
        <f t="shared" si="0"/>
        <v>Stage 2</v>
      </c>
      <c r="AB3" s="4" t="str">
        <f t="shared" si="0"/>
        <v>Stage 0</v>
      </c>
      <c r="AC3" s="4" t="str">
        <f t="shared" si="0"/>
        <v>Stage 0</v>
      </c>
      <c r="AD3" s="4" t="str">
        <f t="shared" si="0"/>
        <v>Stage 0</v>
      </c>
      <c r="AE3" s="4" t="str">
        <f t="shared" si="0"/>
        <v>Stage 0</v>
      </c>
      <c r="AF3" s="4" t="str">
        <f t="shared" si="0"/>
        <v>Stage 0</v>
      </c>
      <c r="AG3" s="4" t="str">
        <f t="shared" si="0"/>
        <v>Stage 0</v>
      </c>
      <c r="AH3" s="4" t="str">
        <f t="shared" si="0"/>
        <v>Stage 0</v>
      </c>
      <c r="AI3" s="4" t="str">
        <f t="shared" si="0"/>
        <v>Stage 0</v>
      </c>
      <c r="AJ3" s="20"/>
      <c r="AK3" s="20"/>
      <c r="AL3" s="20"/>
      <c r="AM3" s="20"/>
    </row>
    <row r="4" spans="2:39" ht="15" x14ac:dyDescent="0.25">
      <c r="B4" s="27" t="s">
        <v>108</v>
      </c>
      <c r="C4" s="28"/>
      <c r="D4" s="28"/>
      <c r="E4" s="28"/>
      <c r="F4" s="29"/>
      <c r="H4" s="3"/>
      <c r="I4" s="4"/>
      <c r="J4" s="4"/>
      <c r="K4" s="4" t="s">
        <v>127</v>
      </c>
      <c r="L4" s="4" t="s">
        <v>130</v>
      </c>
      <c r="M4" s="4" t="s">
        <v>132</v>
      </c>
      <c r="N4" s="4" t="s">
        <v>54</v>
      </c>
      <c r="O4" s="4" t="s">
        <v>53</v>
      </c>
      <c r="P4" s="4" t="s">
        <v>53</v>
      </c>
      <c r="Q4" s="5" t="s">
        <v>53</v>
      </c>
      <c r="S4" s="27" t="s">
        <v>142</v>
      </c>
      <c r="T4" s="28"/>
      <c r="U4" s="28"/>
      <c r="V4" s="29"/>
      <c r="X4" s="18" t="s">
        <v>62</v>
      </c>
      <c r="Y4" s="15" t="s">
        <v>64</v>
      </c>
      <c r="Z4" s="15" t="s">
        <v>143</v>
      </c>
      <c r="AA4" s="15" t="s">
        <v>143</v>
      </c>
      <c r="AB4" s="15" t="s">
        <v>143</v>
      </c>
      <c r="AC4" s="15" t="s">
        <v>143</v>
      </c>
      <c r="AD4" s="15" t="s">
        <v>143</v>
      </c>
      <c r="AE4" s="15" t="s">
        <v>143</v>
      </c>
      <c r="AF4" s="15" t="s">
        <v>143</v>
      </c>
      <c r="AG4" s="15" t="s">
        <v>143</v>
      </c>
      <c r="AH4" s="15" t="s">
        <v>143</v>
      </c>
      <c r="AI4" s="15" t="s">
        <v>143</v>
      </c>
      <c r="AJ4" s="20"/>
      <c r="AK4" s="20"/>
      <c r="AL4" s="20"/>
      <c r="AM4" s="20"/>
    </row>
    <row r="5" spans="2:39" ht="15" x14ac:dyDescent="0.25">
      <c r="B5" s="55" t="s">
        <v>102</v>
      </c>
      <c r="C5" s="56"/>
      <c r="D5" s="56"/>
      <c r="E5" s="57" t="s">
        <v>106</v>
      </c>
      <c r="F5" s="58"/>
      <c r="H5" s="18" t="s">
        <v>110</v>
      </c>
      <c r="I5" s="15" t="s">
        <v>28</v>
      </c>
      <c r="J5" s="15" t="s">
        <v>29</v>
      </c>
      <c r="K5" s="15" t="s">
        <v>128</v>
      </c>
      <c r="L5" s="15" t="s">
        <v>131</v>
      </c>
      <c r="M5" s="15" t="s">
        <v>133</v>
      </c>
      <c r="N5" s="15" t="s">
        <v>101</v>
      </c>
      <c r="O5" s="15" t="s">
        <v>121</v>
      </c>
      <c r="P5" s="15" t="s">
        <v>137</v>
      </c>
      <c r="Q5" s="19" t="s">
        <v>138</v>
      </c>
      <c r="S5" s="3" t="s">
        <v>62</v>
      </c>
      <c r="T5" s="4" t="s">
        <v>64</v>
      </c>
      <c r="U5" s="4" t="s">
        <v>66</v>
      </c>
      <c r="V5" s="5" t="s">
        <v>68</v>
      </c>
      <c r="X5" s="18" t="s">
        <v>63</v>
      </c>
      <c r="Y5" s="15" t="s">
        <v>65</v>
      </c>
      <c r="Z5" s="15" t="str">
        <f t="shared" ref="Z5:AI5" si="1">_xlfn.CONCAT(A501, " ", $I$6)</f>
        <v>35 bara</v>
      </c>
      <c r="AA5" s="15" t="str">
        <f t="shared" si="1"/>
        <v>1 bara</v>
      </c>
      <c r="AB5" s="15" t="str">
        <f t="shared" si="1"/>
        <v>0 bara</v>
      </c>
      <c r="AC5" s="15" t="str">
        <f t="shared" si="1"/>
        <v>0 bara</v>
      </c>
      <c r="AD5" s="15" t="str">
        <f t="shared" si="1"/>
        <v>0 bara</v>
      </c>
      <c r="AE5" s="15" t="str">
        <f t="shared" si="1"/>
        <v>0 bara</v>
      </c>
      <c r="AF5" s="15" t="str">
        <f t="shared" si="1"/>
        <v>0 bara</v>
      </c>
      <c r="AG5" s="15" t="str">
        <f t="shared" si="1"/>
        <v>0 bara</v>
      </c>
      <c r="AH5" s="15" t="str">
        <f t="shared" si="1"/>
        <v>0 bara</v>
      </c>
      <c r="AI5" s="15" t="str">
        <f t="shared" si="1"/>
        <v>0 bara</v>
      </c>
      <c r="AJ5" s="20"/>
      <c r="AK5" s="20"/>
      <c r="AL5" s="20"/>
      <c r="AM5" s="20"/>
    </row>
    <row r="6" spans="2:39" ht="15" x14ac:dyDescent="0.25">
      <c r="B6" s="51" t="s">
        <v>103</v>
      </c>
      <c r="C6" s="52"/>
      <c r="D6" s="52"/>
      <c r="E6" s="14">
        <v>213.1</v>
      </c>
      <c r="F6" s="24" t="s">
        <v>30</v>
      </c>
      <c r="H6" s="21"/>
      <c r="I6" s="22" t="s">
        <v>30</v>
      </c>
      <c r="J6" s="22" t="s">
        <v>38</v>
      </c>
      <c r="K6" s="22" t="s">
        <v>70</v>
      </c>
      <c r="L6" s="22" t="s">
        <v>70</v>
      </c>
      <c r="M6" s="22" t="s">
        <v>135</v>
      </c>
      <c r="N6" s="22" t="s">
        <v>91</v>
      </c>
      <c r="O6" s="22" t="s">
        <v>113</v>
      </c>
      <c r="P6" s="22" t="s">
        <v>90</v>
      </c>
      <c r="Q6" s="23" t="s">
        <v>139</v>
      </c>
      <c r="S6" s="6" t="s">
        <v>63</v>
      </c>
      <c r="T6" s="7" t="s">
        <v>65</v>
      </c>
      <c r="U6" s="7" t="s">
        <v>67</v>
      </c>
      <c r="V6" s="8" t="s">
        <v>67</v>
      </c>
      <c r="X6" s="21"/>
      <c r="Y6" s="22"/>
      <c r="Z6" s="22" t="s">
        <v>144</v>
      </c>
      <c r="AA6" s="22" t="s">
        <v>144</v>
      </c>
      <c r="AB6" s="22" t="s">
        <v>144</v>
      </c>
      <c r="AC6" s="22" t="s">
        <v>144</v>
      </c>
      <c r="AD6" s="22" t="s">
        <v>144</v>
      </c>
      <c r="AE6" s="22" t="s">
        <v>144</v>
      </c>
      <c r="AF6" s="22" t="s">
        <v>144</v>
      </c>
      <c r="AG6" s="22" t="s">
        <v>144</v>
      </c>
      <c r="AH6" s="22" t="s">
        <v>144</v>
      </c>
      <c r="AI6" s="22" t="s">
        <v>144</v>
      </c>
    </row>
    <row r="7" spans="2:39" x14ac:dyDescent="0.25">
      <c r="B7" s="60" t="s">
        <v>145</v>
      </c>
      <c r="C7" s="61"/>
      <c r="D7" s="61"/>
      <c r="E7" s="10">
        <v>1.3620000000000001</v>
      </c>
      <c r="F7" s="2" t="s">
        <v>135</v>
      </c>
      <c r="H7" s="1" t="s">
        <v>147</v>
      </c>
      <c r="I7" s="1">
        <v>213.1</v>
      </c>
      <c r="J7" s="1">
        <v>107</v>
      </c>
      <c r="K7" s="1">
        <v>104.9</v>
      </c>
      <c r="L7" s="1">
        <v>0</v>
      </c>
      <c r="M7" s="1">
        <v>1.3620000000000001</v>
      </c>
      <c r="N7" s="1">
        <v>716.8</v>
      </c>
      <c r="S7" s="1" t="s">
        <v>158</v>
      </c>
      <c r="T7" s="1">
        <v>16.04</v>
      </c>
      <c r="U7" s="1">
        <v>8.6999999999999994E-2</v>
      </c>
      <c r="V7" s="1">
        <v>6.0000000000000001E-3</v>
      </c>
      <c r="X7" s="1" t="s">
        <v>155</v>
      </c>
      <c r="Y7" s="1">
        <v>28.02</v>
      </c>
      <c r="Z7" s="1">
        <v>1.032</v>
      </c>
      <c r="AA7" s="1">
        <v>0.182</v>
      </c>
    </row>
    <row r="8" spans="2:39" x14ac:dyDescent="0.25">
      <c r="H8" s="1">
        <v>1</v>
      </c>
      <c r="I8" s="1">
        <v>35</v>
      </c>
      <c r="J8" s="1">
        <v>35</v>
      </c>
      <c r="K8" s="1">
        <v>33.299999999999997</v>
      </c>
      <c r="L8" s="1">
        <v>71.599999999999994</v>
      </c>
      <c r="M8" s="1">
        <v>1.137</v>
      </c>
      <c r="N8" s="1">
        <v>803.6</v>
      </c>
      <c r="P8" s="1">
        <v>0.71299999999999997</v>
      </c>
      <c r="S8" s="1" t="s">
        <v>159</v>
      </c>
      <c r="T8" s="1">
        <v>30.07</v>
      </c>
      <c r="U8" s="1">
        <v>0.32400000000000001</v>
      </c>
      <c r="V8" s="1">
        <v>4.2000000000000003E-2</v>
      </c>
      <c r="X8" s="1" t="s">
        <v>197</v>
      </c>
      <c r="Y8" s="1">
        <v>44.01</v>
      </c>
      <c r="Z8" s="1">
        <v>6.2510000000000003</v>
      </c>
      <c r="AA8" s="1">
        <v>6.7629999999999999</v>
      </c>
    </row>
    <row r="9" spans="2:39" ht="15" x14ac:dyDescent="0.25">
      <c r="B9" s="27" t="s">
        <v>123</v>
      </c>
      <c r="C9" s="28"/>
      <c r="D9" s="28"/>
      <c r="E9" s="28"/>
      <c r="F9" s="29"/>
      <c r="H9" s="1">
        <v>2</v>
      </c>
      <c r="I9" s="1">
        <v>1</v>
      </c>
      <c r="J9" s="1">
        <v>15</v>
      </c>
      <c r="K9" s="1">
        <v>0</v>
      </c>
      <c r="L9" s="1">
        <v>33.299999999999997</v>
      </c>
      <c r="M9" s="1">
        <v>1.3620000000000001</v>
      </c>
      <c r="N9" s="1">
        <v>868.9</v>
      </c>
      <c r="P9" s="1">
        <v>1.105</v>
      </c>
      <c r="S9" s="1" t="s">
        <v>160</v>
      </c>
      <c r="T9" s="1">
        <v>44.09</v>
      </c>
      <c r="U9" s="1">
        <v>1.607</v>
      </c>
      <c r="V9" s="1">
        <v>0.30499999999999999</v>
      </c>
      <c r="X9" s="1" t="s">
        <v>157</v>
      </c>
      <c r="Y9" s="1">
        <v>34.08</v>
      </c>
      <c r="Z9" s="1">
        <v>0</v>
      </c>
      <c r="AA9" s="1">
        <v>0</v>
      </c>
    </row>
    <row r="10" spans="2:39" x14ac:dyDescent="0.25">
      <c r="B10" s="55" t="s">
        <v>124</v>
      </c>
      <c r="C10" s="56"/>
      <c r="D10" s="56"/>
      <c r="E10" s="12">
        <v>232.3</v>
      </c>
      <c r="F10" s="11"/>
      <c r="S10" s="1" t="s">
        <v>161</v>
      </c>
      <c r="T10" s="1">
        <v>58.12</v>
      </c>
      <c r="U10" s="1">
        <v>0.504</v>
      </c>
      <c r="V10" s="1">
        <v>0.126</v>
      </c>
      <c r="X10" s="1" t="s">
        <v>158</v>
      </c>
      <c r="Y10" s="1">
        <v>16.04</v>
      </c>
      <c r="Z10" s="1">
        <v>80.650999999999996</v>
      </c>
      <c r="AA10" s="1">
        <v>45.075000000000003</v>
      </c>
    </row>
    <row r="11" spans="2:39" x14ac:dyDescent="0.25">
      <c r="B11" s="51" t="s">
        <v>125</v>
      </c>
      <c r="C11" s="52"/>
      <c r="D11" s="52"/>
      <c r="E11" s="14">
        <v>868.9</v>
      </c>
      <c r="F11" s="17" t="s">
        <v>91</v>
      </c>
      <c r="S11" s="1" t="s">
        <v>162</v>
      </c>
      <c r="T11" s="1">
        <v>58.12</v>
      </c>
      <c r="U11" s="1">
        <v>2.4980000000000002</v>
      </c>
      <c r="V11" s="1">
        <v>0.625</v>
      </c>
      <c r="X11" s="1" t="s">
        <v>159</v>
      </c>
      <c r="Y11" s="1">
        <v>30.07</v>
      </c>
      <c r="Z11" s="1">
        <v>7.2409999999999997</v>
      </c>
      <c r="AA11" s="1">
        <v>16.699000000000002</v>
      </c>
    </row>
    <row r="12" spans="2:39" x14ac:dyDescent="0.25">
      <c r="B12" s="63" t="s">
        <v>126</v>
      </c>
      <c r="C12" s="64"/>
      <c r="D12" s="64"/>
      <c r="E12" s="10"/>
      <c r="F12" s="16"/>
      <c r="S12" s="1" t="s">
        <v>163</v>
      </c>
      <c r="T12" s="1">
        <v>72.150000000000006</v>
      </c>
      <c r="U12" s="1">
        <v>3.2000000000000001E-2</v>
      </c>
      <c r="V12" s="1">
        <v>0.01</v>
      </c>
      <c r="X12" s="1" t="s">
        <v>160</v>
      </c>
      <c r="Y12" s="1">
        <v>44.09</v>
      </c>
      <c r="Z12" s="1">
        <v>3.274</v>
      </c>
      <c r="AA12" s="1">
        <v>17.835999999999999</v>
      </c>
    </row>
    <row r="13" spans="2:39" x14ac:dyDescent="0.25">
      <c r="S13" s="1" t="s">
        <v>164</v>
      </c>
      <c r="T13" s="1">
        <v>72.150000000000006</v>
      </c>
      <c r="U13" s="1">
        <v>1.4330000000000001</v>
      </c>
      <c r="V13" s="1">
        <v>0.44500000000000001</v>
      </c>
      <c r="X13" s="1" t="s">
        <v>161</v>
      </c>
      <c r="Y13" s="1">
        <v>58.12</v>
      </c>
      <c r="Z13" s="1">
        <v>0.26500000000000001</v>
      </c>
      <c r="AA13" s="1">
        <v>2.0720000000000001</v>
      </c>
    </row>
    <row r="14" spans="2:39" x14ac:dyDescent="0.25">
      <c r="S14" s="1" t="s">
        <v>165</v>
      </c>
      <c r="T14" s="1">
        <v>72.150000000000006</v>
      </c>
      <c r="U14" s="1">
        <v>2.5630000000000002</v>
      </c>
      <c r="V14" s="1">
        <v>0.79600000000000004</v>
      </c>
      <c r="X14" s="1" t="s">
        <v>162</v>
      </c>
      <c r="Y14" s="1">
        <v>58.12</v>
      </c>
      <c r="Z14" s="1">
        <v>0.68500000000000005</v>
      </c>
      <c r="AA14" s="1">
        <v>6.2670000000000003</v>
      </c>
    </row>
    <row r="15" spans="2:39" x14ac:dyDescent="0.25">
      <c r="S15" s="1" t="s">
        <v>166</v>
      </c>
      <c r="T15" s="1">
        <v>84.7</v>
      </c>
      <c r="U15" s="1">
        <v>4.2629999999999999</v>
      </c>
      <c r="V15" s="1">
        <v>1.554</v>
      </c>
      <c r="X15" s="1" t="s">
        <v>163</v>
      </c>
      <c r="Y15" s="1">
        <v>72.150000000000006</v>
      </c>
      <c r="Z15" s="1">
        <v>1E-3</v>
      </c>
      <c r="AA15" s="1">
        <v>6.0000000000000001E-3</v>
      </c>
    </row>
    <row r="16" spans="2:39" x14ac:dyDescent="0.25">
      <c r="S16" s="1" t="s">
        <v>167</v>
      </c>
      <c r="T16" s="1">
        <v>91.8</v>
      </c>
      <c r="U16" s="1">
        <v>6.931</v>
      </c>
      <c r="V16" s="1">
        <v>2.738</v>
      </c>
      <c r="X16" s="1" t="s">
        <v>164</v>
      </c>
      <c r="Y16" s="1">
        <v>72.150000000000006</v>
      </c>
      <c r="Z16" s="1">
        <v>0.13100000000000001</v>
      </c>
      <c r="AA16" s="1">
        <v>1.3979999999999999</v>
      </c>
    </row>
    <row r="17" spans="19:27" x14ac:dyDescent="0.25">
      <c r="S17" s="1" t="s">
        <v>168</v>
      </c>
      <c r="T17" s="1">
        <v>106.7</v>
      </c>
      <c r="U17" s="1">
        <v>6.8789999999999996</v>
      </c>
      <c r="V17" s="1">
        <v>3.1589999999999998</v>
      </c>
      <c r="X17" s="1" t="s">
        <v>165</v>
      </c>
      <c r="Y17" s="1">
        <v>72.150000000000006</v>
      </c>
      <c r="Z17" s="1">
        <v>0.16400000000000001</v>
      </c>
      <c r="AA17" s="1">
        <v>1.7649999999999999</v>
      </c>
    </row>
    <row r="18" spans="19:27" x14ac:dyDescent="0.25">
      <c r="S18" s="1" t="s">
        <v>169</v>
      </c>
      <c r="T18" s="1">
        <v>121</v>
      </c>
      <c r="U18" s="1">
        <v>5.29</v>
      </c>
      <c r="V18" s="1">
        <v>2.7559999999999998</v>
      </c>
      <c r="X18" s="1" t="s">
        <v>198</v>
      </c>
      <c r="Y18" s="1">
        <v>84.7</v>
      </c>
      <c r="Z18" s="1">
        <v>0.113</v>
      </c>
      <c r="AA18" s="1">
        <v>1.0029999999999999</v>
      </c>
    </row>
    <row r="19" spans="19:27" x14ac:dyDescent="0.25">
      <c r="S19" s="1" t="s">
        <v>170</v>
      </c>
      <c r="T19" s="1">
        <v>134</v>
      </c>
      <c r="U19" s="1">
        <v>4.5510000000000002</v>
      </c>
      <c r="V19" s="1">
        <v>2.625</v>
      </c>
      <c r="X19" s="1" t="s">
        <v>199</v>
      </c>
      <c r="Y19" s="1">
        <v>91.8</v>
      </c>
      <c r="Z19" s="1">
        <v>0.105</v>
      </c>
      <c r="AA19" s="1">
        <v>0.69799999999999995</v>
      </c>
    </row>
    <row r="20" spans="19:27" x14ac:dyDescent="0.25">
      <c r="S20" s="1" t="s">
        <v>171</v>
      </c>
      <c r="T20" s="1">
        <v>147</v>
      </c>
      <c r="U20" s="1">
        <v>4.09</v>
      </c>
      <c r="V20" s="1">
        <v>2.5880000000000001</v>
      </c>
      <c r="X20" s="1" t="s">
        <v>200</v>
      </c>
      <c r="Y20" s="1">
        <v>106.7</v>
      </c>
      <c r="Z20" s="1">
        <v>6.8000000000000005E-2</v>
      </c>
      <c r="AA20" s="1">
        <v>0.20599999999999999</v>
      </c>
    </row>
    <row r="21" spans="19:27" x14ac:dyDescent="0.25">
      <c r="S21" s="1" t="s">
        <v>172</v>
      </c>
      <c r="T21" s="1">
        <v>161</v>
      </c>
      <c r="U21" s="1">
        <v>3.8519999999999999</v>
      </c>
      <c r="V21" s="1">
        <v>2.67</v>
      </c>
      <c r="X21" s="1" t="s">
        <v>201</v>
      </c>
      <c r="Y21" s="1">
        <v>121</v>
      </c>
      <c r="Z21" s="1">
        <v>1.7000000000000001E-2</v>
      </c>
      <c r="AA21" s="1">
        <v>2.9000000000000001E-2</v>
      </c>
    </row>
    <row r="22" spans="19:27" x14ac:dyDescent="0.25">
      <c r="S22" s="1" t="s">
        <v>173</v>
      </c>
      <c r="T22" s="1">
        <v>175</v>
      </c>
      <c r="U22" s="1">
        <v>4.0570000000000004</v>
      </c>
      <c r="V22" s="1">
        <v>3.056</v>
      </c>
      <c r="X22" s="1" t="s">
        <v>202</v>
      </c>
      <c r="Y22" s="1">
        <v>136.30000000000001</v>
      </c>
      <c r="Z22" s="1">
        <v>2E-3</v>
      </c>
      <c r="AA22" s="1">
        <v>1E-3</v>
      </c>
    </row>
    <row r="23" spans="19:27" x14ac:dyDescent="0.25">
      <c r="S23" s="1" t="s">
        <v>174</v>
      </c>
      <c r="T23" s="1">
        <v>190</v>
      </c>
      <c r="U23" s="1">
        <v>4.601</v>
      </c>
      <c r="V23" s="1">
        <v>3.7629999999999999</v>
      </c>
    </row>
    <row r="24" spans="19:27" x14ac:dyDescent="0.25">
      <c r="S24" s="1" t="s">
        <v>175</v>
      </c>
      <c r="T24" s="1">
        <v>206</v>
      </c>
      <c r="U24" s="1">
        <v>6.0650000000000004</v>
      </c>
      <c r="V24" s="1">
        <v>5.3780000000000001</v>
      </c>
    </row>
    <row r="25" spans="19:27" x14ac:dyDescent="0.25">
      <c r="S25" s="1" t="s">
        <v>176</v>
      </c>
      <c r="T25" s="1">
        <v>222</v>
      </c>
      <c r="U25" s="1">
        <v>5.2569999999999997</v>
      </c>
      <c r="V25" s="1">
        <v>5.024</v>
      </c>
    </row>
    <row r="26" spans="19:27" x14ac:dyDescent="0.25">
      <c r="S26" s="1" t="s">
        <v>177</v>
      </c>
      <c r="T26" s="1">
        <v>237</v>
      </c>
      <c r="U26" s="1">
        <v>4.2549999999999999</v>
      </c>
      <c r="V26" s="1">
        <v>4.3410000000000002</v>
      </c>
    </row>
    <row r="27" spans="19:27" x14ac:dyDescent="0.25">
      <c r="S27" s="1" t="s">
        <v>178</v>
      </c>
      <c r="T27" s="1">
        <v>251</v>
      </c>
      <c r="U27" s="1">
        <v>3.1349999999999998</v>
      </c>
      <c r="V27" s="1">
        <v>3.387</v>
      </c>
    </row>
    <row r="28" spans="19:27" x14ac:dyDescent="0.25">
      <c r="S28" s="1" t="s">
        <v>179</v>
      </c>
      <c r="T28" s="1">
        <v>263</v>
      </c>
      <c r="U28" s="1">
        <v>2.44</v>
      </c>
      <c r="V28" s="1">
        <v>2.762</v>
      </c>
    </row>
    <row r="29" spans="19:27" x14ac:dyDescent="0.25">
      <c r="S29" s="1" t="s">
        <v>180</v>
      </c>
      <c r="T29" s="1">
        <v>275</v>
      </c>
      <c r="U29" s="1">
        <v>1.6579999999999999</v>
      </c>
      <c r="V29" s="1">
        <v>1.9630000000000001</v>
      </c>
    </row>
    <row r="30" spans="19:27" x14ac:dyDescent="0.25">
      <c r="S30" s="1" t="s">
        <v>181</v>
      </c>
      <c r="T30" s="1">
        <v>291</v>
      </c>
      <c r="U30" s="1">
        <v>1.45</v>
      </c>
      <c r="V30" s="1">
        <v>1.8160000000000001</v>
      </c>
    </row>
    <row r="31" spans="19:27" x14ac:dyDescent="0.25">
      <c r="S31" s="1" t="s">
        <v>182</v>
      </c>
      <c r="T31" s="1">
        <v>300</v>
      </c>
      <c r="U31" s="1">
        <v>1.3340000000000001</v>
      </c>
      <c r="V31" s="1">
        <v>1.7230000000000001</v>
      </c>
    </row>
    <row r="32" spans="19:27" x14ac:dyDescent="0.25">
      <c r="S32" s="1" t="s">
        <v>183</v>
      </c>
      <c r="T32" s="1">
        <v>312</v>
      </c>
      <c r="U32" s="1">
        <v>1.1870000000000001</v>
      </c>
      <c r="V32" s="1">
        <v>1.5940000000000001</v>
      </c>
    </row>
    <row r="33" spans="19:22" x14ac:dyDescent="0.25">
      <c r="S33" s="1" t="s">
        <v>184</v>
      </c>
      <c r="T33" s="1">
        <v>324</v>
      </c>
      <c r="U33" s="1">
        <v>1.1160000000000001</v>
      </c>
      <c r="V33" s="1">
        <v>1.5569999999999999</v>
      </c>
    </row>
    <row r="34" spans="19:22" x14ac:dyDescent="0.25">
      <c r="S34" s="1" t="s">
        <v>185</v>
      </c>
      <c r="T34" s="1">
        <v>337</v>
      </c>
      <c r="U34" s="1">
        <v>1.022</v>
      </c>
      <c r="V34" s="1">
        <v>1.4830000000000001</v>
      </c>
    </row>
    <row r="35" spans="19:22" x14ac:dyDescent="0.25">
      <c r="S35" s="1" t="s">
        <v>186</v>
      </c>
      <c r="T35" s="1">
        <v>349</v>
      </c>
      <c r="U35" s="1">
        <v>0.98599999999999999</v>
      </c>
      <c r="V35" s="1">
        <v>1.482</v>
      </c>
    </row>
    <row r="36" spans="19:22" x14ac:dyDescent="0.25">
      <c r="S36" s="1" t="s">
        <v>187</v>
      </c>
      <c r="T36" s="1">
        <v>360</v>
      </c>
      <c r="U36" s="1">
        <v>0.92600000000000005</v>
      </c>
      <c r="V36" s="1">
        <v>1.4350000000000001</v>
      </c>
    </row>
    <row r="37" spans="19:22" x14ac:dyDescent="0.25">
      <c r="S37" s="1" t="s">
        <v>188</v>
      </c>
      <c r="T37" s="1">
        <v>372</v>
      </c>
      <c r="U37" s="1">
        <v>0.89400000000000002</v>
      </c>
      <c r="V37" s="1">
        <v>1.4319999999999999</v>
      </c>
    </row>
    <row r="38" spans="19:22" x14ac:dyDescent="0.25">
      <c r="S38" s="1" t="s">
        <v>189</v>
      </c>
      <c r="T38" s="1">
        <v>382</v>
      </c>
      <c r="U38" s="1">
        <v>0.91400000000000003</v>
      </c>
      <c r="V38" s="1">
        <v>1.5029999999999999</v>
      </c>
    </row>
    <row r="39" spans="19:22" x14ac:dyDescent="0.25">
      <c r="S39" s="1" t="s">
        <v>190</v>
      </c>
      <c r="T39" s="1">
        <v>394</v>
      </c>
      <c r="U39" s="1">
        <v>0.89200000000000002</v>
      </c>
      <c r="V39" s="1">
        <v>1.5129999999999999</v>
      </c>
    </row>
    <row r="40" spans="19:22" x14ac:dyDescent="0.25">
      <c r="S40" s="1" t="s">
        <v>191</v>
      </c>
      <c r="T40" s="1">
        <v>404</v>
      </c>
      <c r="U40" s="1">
        <v>0.86399999999999999</v>
      </c>
      <c r="V40" s="1">
        <v>1.502</v>
      </c>
    </row>
    <row r="41" spans="19:22" x14ac:dyDescent="0.25">
      <c r="S41" s="1" t="s">
        <v>192</v>
      </c>
      <c r="T41" s="1">
        <v>415</v>
      </c>
      <c r="U41" s="1">
        <v>0.77600000000000002</v>
      </c>
      <c r="V41" s="1">
        <v>1.3859999999999999</v>
      </c>
    </row>
    <row r="42" spans="19:22" x14ac:dyDescent="0.25">
      <c r="S42" s="1" t="s">
        <v>193</v>
      </c>
      <c r="T42" s="1">
        <v>426</v>
      </c>
      <c r="U42" s="1">
        <v>0.68100000000000005</v>
      </c>
      <c r="V42" s="1">
        <v>1.2490000000000001</v>
      </c>
    </row>
    <row r="43" spans="19:22" x14ac:dyDescent="0.25">
      <c r="S43" s="1" t="s">
        <v>194</v>
      </c>
      <c r="T43" s="1">
        <v>437</v>
      </c>
      <c r="U43" s="1">
        <v>0.623</v>
      </c>
      <c r="V43" s="1">
        <v>1.1719999999999999</v>
      </c>
    </row>
    <row r="44" spans="19:22" x14ac:dyDescent="0.25">
      <c r="S44" s="1" t="s">
        <v>195</v>
      </c>
      <c r="T44" s="1">
        <v>445</v>
      </c>
      <c r="U44" s="1">
        <v>0.58499999999999996</v>
      </c>
      <c r="V44" s="1">
        <v>1.121</v>
      </c>
    </row>
    <row r="45" spans="19:22" x14ac:dyDescent="0.25">
      <c r="S45" s="1" t="s">
        <v>196</v>
      </c>
      <c r="T45" s="1">
        <v>691</v>
      </c>
      <c r="U45" s="1">
        <v>9.3789999999999996</v>
      </c>
      <c r="V45" s="1">
        <v>27.913</v>
      </c>
    </row>
    <row r="500" spans="1:10" x14ac:dyDescent="0.25">
      <c r="A500" s="1" cm="1">
        <f t="array" ref="A500:J500">TRANSPOSE(H8:H17)</f>
        <v>1</v>
      </c>
      <c r="B500" s="1">
        <v>2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</row>
    <row r="501" spans="1:10" x14ac:dyDescent="0.25">
      <c r="A501" s="1" cm="1">
        <f t="array" ref="A501:J501">TRANSPOSE(I8:I17)</f>
        <v>35</v>
      </c>
      <c r="B501" s="1">
        <v>1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</row>
  </sheetData>
  <mergeCells count="12">
    <mergeCell ref="X2:AI2"/>
    <mergeCell ref="B12:D12"/>
    <mergeCell ref="H3:Q3"/>
    <mergeCell ref="B4:F4"/>
    <mergeCell ref="S4:V4"/>
    <mergeCell ref="B5:D5"/>
    <mergeCell ref="E5:F5"/>
    <mergeCell ref="B6:D6"/>
    <mergeCell ref="B7:D7"/>
    <mergeCell ref="B9:F9"/>
    <mergeCell ref="B10:D10"/>
    <mergeCell ref="B11:D11"/>
  </mergeCells>
  <conditionalFormatting sqref="Z3:AI6">
    <cfRule type="expression" dxfId="0" priority="1">
      <formula>IF(A$501=0,1,0)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1C647C1E-75A2-458C-AE8B-C1CCBBD37FB2}">
          <x14:formula1>
            <xm:f>units!$E$2:$E$5</xm:f>
          </x14:formula1>
          <xm:sqref>J6</xm:sqref>
        </x14:dataValidation>
        <x14:dataValidation type="list" allowBlank="1" showInputMessage="1" showErrorMessage="1" xr:uid="{44C87D94-F95A-48F1-BCEF-750520BD5D72}">
          <x14:formula1>
            <xm:f>units!$D$2:$D$9</xm:f>
          </x14:formula1>
          <xm:sqref>F6 I6</xm:sqref>
        </x14:dataValidation>
        <x14:dataValidation type="list" allowBlank="1" showInputMessage="1" showErrorMessage="1" xr:uid="{4BF4D0A9-E3EE-4216-AD70-B667A0CB8DF6}">
          <x14:formula1>
            <xm:f>'sample options'!$D$2:$D$3</xm:f>
          </x14:formula1>
          <xm:sqref>E5</xm:sqref>
        </x14:dataValidation>
        <x14:dataValidation type="list" allowBlank="1" showInputMessage="1" showErrorMessage="1" xr:uid="{684490F1-2D10-4F57-B460-2785AB12E20D}">
          <x14:formula1>
            <xm:f>units!$H$2:$H$5</xm:f>
          </x14:formula1>
          <xm:sqref>F11 N6</xm:sqref>
        </x14:dataValidation>
        <x14:dataValidation type="list" allowBlank="1" showInputMessage="1" showErrorMessage="1" xr:uid="{B0D293A3-60A5-47E1-8F53-33757F1E51F9}">
          <x14:formula1>
            <xm:f>units!$I$2:$I$6</xm:f>
          </x14:formula1>
          <xm:sqref>F12 P6</xm:sqref>
        </x14:dataValidation>
        <x14:dataValidation type="list" allowBlank="1" showInputMessage="1" showErrorMessage="1" xr:uid="{836F1257-DE45-4B66-A36A-A933D7235013}">
          <x14:formula1>
            <xm:f>units!$L$2:$L$3</xm:f>
          </x14:formula1>
          <xm:sqref>Q6</xm:sqref>
        </x14:dataValidation>
        <x14:dataValidation type="list" allowBlank="1" showInputMessage="1" showErrorMessage="1" xr:uid="{F3AB2A4D-2A06-448E-A990-3941CF2A83CA}">
          <x14:formula1>
            <xm:f>units!$K$2:$K$3</xm:f>
          </x14:formula1>
          <xm:sqref>M6 F7</xm:sqref>
        </x14:dataValidation>
        <x14:dataValidation type="list" allowBlank="1" showInputMessage="1" showErrorMessage="1" xr:uid="{32F338DF-494F-4AF1-9926-5F38680BAA22}">
          <x14:formula1>
            <xm:f>units!$G$2:$G$13</xm:f>
          </x14:formula1>
          <xm:sqref>L6</xm:sqref>
        </x14:dataValidation>
        <x14:dataValidation type="list" allowBlank="1" showInputMessage="1" showErrorMessage="1" xr:uid="{0CD81D6A-D006-4EA5-9FCF-CC9D0CE19BCA}">
          <x14:formula1>
            <xm:f>units!$F$2:$F$7</xm:f>
          </x14:formula1>
          <xm:sqref>K6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0CEEE-62A3-4D41-BA57-0B5F09E112C3}">
  <dimension ref="B4:K22"/>
  <sheetViews>
    <sheetView workbookViewId="0"/>
  </sheetViews>
  <sheetFormatPr defaultRowHeight="14.25" x14ac:dyDescent="0.25"/>
  <cols>
    <col min="1" max="1" width="9.140625" style="1"/>
    <col min="2" max="2" width="11.85546875" style="1" customWidth="1"/>
    <col min="3" max="3" width="9.5703125" style="1" customWidth="1"/>
    <col min="4" max="4" width="10" style="1" customWidth="1"/>
    <col min="5" max="5" width="12.42578125" style="1" customWidth="1"/>
    <col min="6" max="8" width="9.140625" style="1"/>
    <col min="9" max="9" width="10.28515625" style="1" bestFit="1" customWidth="1"/>
    <col min="10" max="11" width="9.85546875" style="1" bestFit="1" customWidth="1"/>
    <col min="12" max="16384" width="9.140625" style="1"/>
  </cols>
  <sheetData>
    <row r="4" spans="2:11" ht="15" x14ac:dyDescent="0.25">
      <c r="B4" s="27" t="s">
        <v>108</v>
      </c>
      <c r="C4" s="28"/>
      <c r="D4" s="28"/>
      <c r="E4" s="28"/>
      <c r="F4" s="29"/>
    </row>
    <row r="5" spans="2:11" ht="15" x14ac:dyDescent="0.25">
      <c r="B5" s="55" t="s">
        <v>102</v>
      </c>
      <c r="C5" s="56"/>
      <c r="D5" s="56"/>
      <c r="E5" s="57" t="s">
        <v>106</v>
      </c>
      <c r="F5" s="58"/>
      <c r="H5" s="3"/>
      <c r="I5" s="4"/>
      <c r="J5" s="4" t="s">
        <v>54</v>
      </c>
      <c r="K5" s="5" t="s">
        <v>53</v>
      </c>
    </row>
    <row r="6" spans="2:11" ht="15" x14ac:dyDescent="0.25">
      <c r="B6" s="51" t="s">
        <v>103</v>
      </c>
      <c r="C6" s="52"/>
      <c r="D6" s="52"/>
      <c r="E6" s="14">
        <v>213.1</v>
      </c>
      <c r="F6" s="24" t="s">
        <v>30</v>
      </c>
      <c r="H6" s="18" t="s">
        <v>110</v>
      </c>
      <c r="I6" s="15" t="s">
        <v>28</v>
      </c>
      <c r="J6" s="15" t="s">
        <v>138</v>
      </c>
      <c r="K6" s="19" t="s">
        <v>138</v>
      </c>
    </row>
    <row r="7" spans="2:11" x14ac:dyDescent="0.25">
      <c r="B7" s="60" t="s">
        <v>104</v>
      </c>
      <c r="C7" s="61"/>
      <c r="D7" s="61"/>
      <c r="E7" s="10">
        <v>107</v>
      </c>
      <c r="F7" s="2" t="s">
        <v>38</v>
      </c>
      <c r="H7" s="21"/>
      <c r="I7" s="22" t="s">
        <v>30</v>
      </c>
      <c r="J7" s="22" t="s">
        <v>139</v>
      </c>
      <c r="K7" s="23" t="s">
        <v>139</v>
      </c>
    </row>
    <row r="8" spans="2:11" x14ac:dyDescent="0.25">
      <c r="H8" s="1">
        <v>1</v>
      </c>
      <c r="I8" s="1">
        <v>400</v>
      </c>
      <c r="J8" s="1">
        <v>0.76800000000000002</v>
      </c>
    </row>
    <row r="9" spans="2:11" x14ac:dyDescent="0.25">
      <c r="H9" s="1">
        <v>2</v>
      </c>
      <c r="I9" s="1">
        <v>374</v>
      </c>
      <c r="J9" s="1">
        <v>0.74399999999999999</v>
      </c>
    </row>
    <row r="10" spans="2:11" x14ac:dyDescent="0.25">
      <c r="H10" s="1">
        <v>3</v>
      </c>
      <c r="I10" s="1">
        <v>350.4</v>
      </c>
      <c r="J10" s="1">
        <v>0.72399999999999998</v>
      </c>
    </row>
    <row r="11" spans="2:11" x14ac:dyDescent="0.25">
      <c r="H11" s="1">
        <v>4</v>
      </c>
      <c r="I11" s="1">
        <v>332.8</v>
      </c>
      <c r="J11" s="1">
        <v>0.70899999999999996</v>
      </c>
    </row>
    <row r="12" spans="2:11" x14ac:dyDescent="0.25">
      <c r="H12" s="1">
        <v>5</v>
      </c>
      <c r="I12" s="1">
        <v>325.3</v>
      </c>
      <c r="J12" s="1">
        <v>0.70299999999999996</v>
      </c>
    </row>
    <row r="13" spans="2:11" x14ac:dyDescent="0.25">
      <c r="H13" s="1">
        <v>6</v>
      </c>
      <c r="I13" s="1">
        <v>300.3</v>
      </c>
      <c r="J13" s="1">
        <v>0.68200000000000005</v>
      </c>
    </row>
    <row r="14" spans="2:11" x14ac:dyDescent="0.25">
      <c r="H14" s="1">
        <v>7</v>
      </c>
      <c r="I14" s="1">
        <v>277.2</v>
      </c>
      <c r="J14" s="1">
        <v>0.66100000000000003</v>
      </c>
    </row>
    <row r="15" spans="2:11" x14ac:dyDescent="0.25">
      <c r="H15" s="1">
        <v>8</v>
      </c>
      <c r="I15" s="1">
        <v>251</v>
      </c>
      <c r="J15" s="1">
        <v>0.63900000000000001</v>
      </c>
    </row>
    <row r="16" spans="2:11" x14ac:dyDescent="0.25">
      <c r="H16" s="1">
        <v>9</v>
      </c>
      <c r="I16" s="1">
        <v>226</v>
      </c>
      <c r="J16" s="1">
        <v>0.61599999999999999</v>
      </c>
    </row>
    <row r="17" spans="8:10" x14ac:dyDescent="0.25">
      <c r="H17" s="1">
        <v>10</v>
      </c>
      <c r="I17" s="1">
        <v>213.1</v>
      </c>
      <c r="J17" s="1">
        <v>0.60599999999999998</v>
      </c>
    </row>
    <row r="18" spans="8:10" x14ac:dyDescent="0.25">
      <c r="H18" s="1">
        <v>11</v>
      </c>
      <c r="I18" s="1">
        <v>175.8</v>
      </c>
      <c r="J18" s="1">
        <v>0.65200000000000002</v>
      </c>
    </row>
    <row r="19" spans="8:10" x14ac:dyDescent="0.25">
      <c r="H19" s="1">
        <v>12</v>
      </c>
      <c r="I19" s="1">
        <v>140</v>
      </c>
      <c r="J19" s="1">
        <v>0.71099999999999997</v>
      </c>
    </row>
    <row r="20" spans="8:10" x14ac:dyDescent="0.25">
      <c r="H20" s="1">
        <v>13</v>
      </c>
      <c r="I20" s="1">
        <v>75</v>
      </c>
      <c r="J20" s="1">
        <v>0.86899999999999999</v>
      </c>
    </row>
    <row r="21" spans="8:10" x14ac:dyDescent="0.25">
      <c r="H21" s="1">
        <v>14</v>
      </c>
      <c r="I21" s="1">
        <v>34</v>
      </c>
      <c r="J21" s="1">
        <v>1.0329999999999999</v>
      </c>
    </row>
    <row r="22" spans="8:10" x14ac:dyDescent="0.25">
      <c r="H22" s="1">
        <v>15</v>
      </c>
      <c r="I22" s="1">
        <v>1</v>
      </c>
      <c r="J22" s="1">
        <v>1.9870000000000001</v>
      </c>
    </row>
  </sheetData>
  <mergeCells count="5">
    <mergeCell ref="B4:F4"/>
    <mergeCell ref="B5:D5"/>
    <mergeCell ref="E5:F5"/>
    <mergeCell ref="B6:D6"/>
    <mergeCell ref="B7:D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71D8E2A-EF07-4328-97EA-7F12D13C44D7}">
          <x14:formula1>
            <xm:f>'sample options'!$D$2:$D$3</xm:f>
          </x14:formula1>
          <xm:sqref>E5</xm:sqref>
        </x14:dataValidation>
        <x14:dataValidation type="list" allowBlank="1" showInputMessage="1" showErrorMessage="1" xr:uid="{2CC44E27-9DF3-46CB-BF86-8EB3E99D9676}">
          <x14:formula1>
            <xm:f>units!$D$2:$D$9</xm:f>
          </x14:formula1>
          <xm:sqref>F6 I7</xm:sqref>
        </x14:dataValidation>
        <x14:dataValidation type="list" allowBlank="1" showInputMessage="1" showErrorMessage="1" xr:uid="{78F7C4FD-3FA3-412B-B638-D2DC2ACF779E}">
          <x14:formula1>
            <xm:f>units!$E$2:$E$5</xm:f>
          </x14:formula1>
          <xm:sqref>F7</xm:sqref>
        </x14:dataValidation>
        <x14:dataValidation type="list" allowBlank="1" showInputMessage="1" showErrorMessage="1" xr:uid="{568C1B77-1CEE-4D4A-86A6-8D6B51EA71A0}">
          <x14:formula1>
            <xm:f>units!$L$2:$L$3</xm:f>
          </x14:formula1>
          <xm:sqref>J7:K7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units</vt:lpstr>
      <vt:lpstr>sample options</vt:lpstr>
      <vt:lpstr>General Info</vt:lpstr>
      <vt:lpstr>Compositional Data</vt:lpstr>
      <vt:lpstr>CCE Experimental Data</vt:lpstr>
      <vt:lpstr>MSS Experimental Data</vt:lpstr>
      <vt:lpstr>VISCO Experimental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Hays Nielsen</dc:creator>
  <cp:lastModifiedBy>Markus Hays Nielsen</cp:lastModifiedBy>
  <dcterms:created xsi:type="dcterms:W3CDTF">2024-03-26T07:21:57Z</dcterms:created>
  <dcterms:modified xsi:type="dcterms:W3CDTF">2024-04-02T12:19:40Z</dcterms:modified>
</cp:coreProperties>
</file>